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180" windowHeight="17300" tabRatio="600" firstSheet="0" activeTab="6" autoFilterDateGrouping="1"/>
  </bookViews>
  <sheets>
    <sheet xmlns:r="http://schemas.openxmlformats.org/officeDocument/2006/relationships" name="Step 1" sheetId="1" state="visible" r:id="rId1"/>
    <sheet xmlns:r="http://schemas.openxmlformats.org/officeDocument/2006/relationships" name="Step 2" sheetId="2" state="visible" r:id="rId2"/>
    <sheet xmlns:r="http://schemas.openxmlformats.org/officeDocument/2006/relationships" name="Step 3" sheetId="3" state="visible" r:id="rId3"/>
    <sheet xmlns:r="http://schemas.openxmlformats.org/officeDocument/2006/relationships" name="Appendix A" sheetId="4" state="visible" r:id="rId4"/>
    <sheet xmlns:r="http://schemas.openxmlformats.org/officeDocument/2006/relationships" name="Step 4 Weighted Calc" sheetId="5" state="visible" r:id="rId5"/>
    <sheet xmlns:r="http://schemas.openxmlformats.org/officeDocument/2006/relationships" name="Step 6 Regulatory" sheetId="6" state="visible" r:id="rId6"/>
    <sheet xmlns:r="http://schemas.openxmlformats.org/officeDocument/2006/relationships" name="Final Output" sheetId="7" state="visible" r:id="rId7"/>
    <sheet xmlns:r="http://schemas.openxmlformats.org/officeDocument/2006/relationships" name="System Supports Don't Touch &gt;" sheetId="8" state="visible" r:id="rId8"/>
    <sheet xmlns:r="http://schemas.openxmlformats.org/officeDocument/2006/relationships" name="Sheet5" sheetId="9" state="visible" r:id="rId9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_(0.0%_);\(0.0%\);0.0%_)"/>
    <numFmt numFmtId="165" formatCode="_(0%_);\(0%\);0%_)"/>
    <numFmt numFmtId="166" formatCode="_(#,##0_);\(#,##0\);_(&quot;-&quot;_);_(@_)"/>
    <numFmt numFmtId="167" formatCode="0.0%"/>
  </numFmts>
  <fonts count="19">
    <font>
      <name val="Calibri"/>
      <family val="2"/>
      <color theme="1"/>
      <sz val="11"/>
      <scheme val="minor"/>
    </font>
    <font>
      <name val="Cambria"/>
      <family val="1"/>
      <color theme="1"/>
      <sz val="8"/>
    </font>
    <font>
      <name val="Cambria"/>
      <family val="1"/>
      <b val="1"/>
      <color theme="1"/>
      <sz val="10"/>
    </font>
    <font>
      <name val="Cambria"/>
      <family val="1"/>
      <i val="1"/>
      <color theme="1"/>
      <sz val="8"/>
    </font>
    <font>
      <name val="Cambria"/>
      <family val="1"/>
      <b val="1"/>
      <color theme="1"/>
      <sz val="8"/>
    </font>
    <font>
      <name val="Cambria"/>
      <family val="1"/>
      <color theme="1"/>
      <sz val="8"/>
      <u val="singleAccounting"/>
    </font>
    <font>
      <name val="Cambria"/>
      <family val="1"/>
      <i val="1"/>
      <color rgb="FFFF0000"/>
      <sz val="8"/>
    </font>
    <font>
      <name val="Cambria"/>
      <family val="1"/>
      <b val="1"/>
      <color theme="1"/>
      <sz val="8"/>
      <u val="singleAccounting"/>
    </font>
    <font>
      <name val="Cambria"/>
      <family val="1"/>
      <i val="1"/>
      <sz val="8"/>
    </font>
    <font>
      <name val="Calibri"/>
      <family val="2"/>
      <b val="1"/>
      <color theme="1"/>
      <sz val="11"/>
      <scheme val="minor"/>
    </font>
    <font>
      <name val="Cambria"/>
      <family val="1"/>
      <i val="1"/>
      <color rgb="FF0000FF"/>
      <sz val="8"/>
    </font>
    <font>
      <name val="Cambria"/>
      <family val="1"/>
      <i val="1"/>
      <color rgb="FF000000"/>
      <sz val="8"/>
    </font>
    <font>
      <name val="Cambria"/>
      <family val="1"/>
      <color theme="1"/>
      <sz val="7"/>
      <u val="singleAccounting"/>
    </font>
    <font>
      <name val="Cambria"/>
      <family val="1"/>
      <color rgb="FF0000FF"/>
      <sz val="8"/>
    </font>
    <font>
      <name val="Calibri"/>
      <b val="1"/>
      <sz val="14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7" fontId="5" fillId="0" borderId="0" applyAlignment="1" pivotButton="0" quotePrefix="0" xfId="0">
      <alignment horizontal="centerContinuous"/>
    </xf>
    <xf numFmtId="164" fontId="3" fillId="0" borderId="0" pivotButton="0" quotePrefix="0" xfId="0"/>
    <xf numFmtId="164" fontId="6" fillId="0" borderId="0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0" fontId="1" fillId="0" borderId="1" pivotButton="0" quotePrefix="0" xfId="0"/>
    <xf numFmtId="0" fontId="4" fillId="0" borderId="1" pivotButton="0" quotePrefix="0" xfId="0"/>
    <xf numFmtId="165" fontId="1" fillId="0" borderId="1" applyAlignment="1" pivotButton="0" quotePrefix="0" xfId="0">
      <alignment horizontal="center"/>
    </xf>
    <xf numFmtId="17" fontId="7" fillId="0" borderId="0" applyAlignment="1" pivotButton="0" quotePrefix="0" xfId="0">
      <alignment horizontal="centerContinuous"/>
    </xf>
    <xf numFmtId="0" fontId="1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/>
    </xf>
    <xf numFmtId="166" fontId="8" fillId="0" borderId="0" applyAlignment="1" pivotButton="0" quotePrefix="0" xfId="0">
      <alignment horizontal="center"/>
    </xf>
    <xf numFmtId="17" fontId="5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0" fontId="9" fillId="0" borderId="2" applyAlignment="1" pivotButton="0" quotePrefix="0" xfId="0">
      <alignment horizontal="center" vertical="top"/>
    </xf>
    <xf numFmtId="164" fontId="10" fillId="0" borderId="0" applyAlignment="1" pivotButton="0" quotePrefix="0" xfId="0">
      <alignment horizontal="center"/>
    </xf>
    <xf numFmtId="167" fontId="1" fillId="0" borderId="0" applyAlignment="1" pivotButton="0" quotePrefix="0" xfId="0">
      <alignment horizontal="center"/>
    </xf>
    <xf numFmtId="166" fontId="10" fillId="0" borderId="0" applyAlignment="1" pivotButton="0" quotePrefix="0" xfId="0">
      <alignment horizontal="center"/>
    </xf>
    <xf numFmtId="166" fontId="11" fillId="0" borderId="0" applyAlignment="1" pivotButton="0" quotePrefix="0" xfId="0">
      <alignment horizontal="center"/>
    </xf>
    <xf numFmtId="17" fontId="12" fillId="0" borderId="0" applyAlignment="1" pivotButton="0" quotePrefix="0" xfId="0">
      <alignment horizontal="centerContinuous" wrapText="1"/>
    </xf>
    <xf numFmtId="164" fontId="1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/>
    </xf>
    <xf numFmtId="166" fontId="1" fillId="0" borderId="1" applyAlignment="1" pivotButton="0" quotePrefix="0" xfId="0">
      <alignment horizontal="center"/>
    </xf>
    <xf numFmtId="0" fontId="17" fillId="0" borderId="0" pivotButton="0" quotePrefix="0" xfId="0"/>
    <xf numFmtId="2" fontId="17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2" borderId="0" applyAlignment="1" pivotButton="0" quotePrefix="0" xfId="0">
      <alignment horizontal="center" vertical="center"/>
    </xf>
    <xf numFmtId="167" fontId="0" fillId="0" borderId="0" pivotButton="0" quotePrefix="0" xfId="0"/>
    <xf numFmtId="0" fontId="15" fillId="0" borderId="0" pivotButton="0" quotePrefix="0" xfId="0"/>
    <xf numFmtId="0" fontId="0" fillId="0" borderId="0" pivotButton="0" quotePrefix="0" xfId="0"/>
    <xf numFmtId="17" fontId="4" fillId="0" borderId="0" pivotButton="0" quotePrefix="0" xfId="0"/>
    <xf numFmtId="2" fontId="1" fillId="0" borderId="0" applyAlignment="1" pivotButton="0" quotePrefix="0" xfId="0">
      <alignment horizontal="center"/>
    </xf>
    <xf numFmtId="0" fontId="18" fillId="0" borderId="1" pivotButton="0" quotePrefix="0" xfId="0"/>
    <xf numFmtId="2" fontId="18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:XFD1048576"/>
    </sheetView>
  </sheetViews>
  <sheetFormatPr baseColWidth="10" defaultColWidth="8.6640625" defaultRowHeight="11"/>
  <cols>
    <col width="2.33203125" customWidth="1" style="1" min="1" max="1"/>
    <col width="9.5" customWidth="1" style="1" min="2" max="2"/>
    <col width="21.1640625" customWidth="1" style="1" min="3" max="3"/>
    <col width="15.33203125" customWidth="1" style="1" min="4" max="5"/>
    <col width="1.6640625" customWidth="1" style="1" min="6" max="6"/>
    <col width="19.33203125" customWidth="1" style="1" min="7" max="7"/>
    <col width="8.6640625" customWidth="1" style="1" min="8" max="8"/>
    <col width="8.6640625" customWidth="1" style="1" min="9" max="16384"/>
  </cols>
  <sheetData>
    <row r="2" ht="13" customHeight="1" s="36">
      <c r="B2" s="2" t="inlineStr">
        <is>
          <t>AI Diligence Artifact</t>
        </is>
      </c>
    </row>
    <row r="3">
      <c r="B3" s="7" t="inlineStr">
        <is>
          <t>&lt;Segment&gt;, &lt;Scope&gt;</t>
        </is>
      </c>
    </row>
    <row r="5">
      <c r="B5" s="3" t="inlineStr">
        <is>
          <t>Step 1: Labor % Estimate</t>
        </is>
      </c>
    </row>
    <row r="6" ht="14" customHeight="1" s="36">
      <c r="B6" s="14" t="inlineStr">
        <is>
          <t>Entry #</t>
        </is>
      </c>
      <c r="C6" s="4" t="inlineStr">
        <is>
          <t>Source</t>
        </is>
      </c>
      <c r="D6" s="4" t="inlineStr">
        <is>
          <t>Estimate</t>
        </is>
      </c>
      <c r="E6" s="4" t="inlineStr">
        <is>
          <t>Comments</t>
        </is>
      </c>
    </row>
    <row r="7">
      <c r="B7" s="14" t="n">
        <v>1</v>
      </c>
      <c r="C7" s="7" t="inlineStr">
        <is>
          <t>&lt;Insert Source, Linked&gt;</t>
        </is>
      </c>
      <c r="D7" s="9" t="n">
        <v>0</v>
      </c>
      <c r="E7" s="7" t="inlineStr">
        <is>
          <t>&lt;Insert Commentary&gt;</t>
        </is>
      </c>
    </row>
    <row r="8">
      <c r="B8" s="14" t="n">
        <v>2</v>
      </c>
      <c r="C8" s="7" t="inlineStr">
        <is>
          <t>&lt;Insert Source, Linked&gt;</t>
        </is>
      </c>
      <c r="D8" s="9" t="n">
        <v>0</v>
      </c>
      <c r="E8" s="7" t="inlineStr">
        <is>
          <t>&lt;Insert Commentary&gt;</t>
        </is>
      </c>
    </row>
    <row r="9">
      <c r="B9" s="14" t="n">
        <v>3</v>
      </c>
      <c r="C9" s="7" t="inlineStr">
        <is>
          <t>&lt;Insert Source, Linked&gt;</t>
        </is>
      </c>
      <c r="D9" s="9" t="n">
        <v>0</v>
      </c>
      <c r="E9" s="7" t="inlineStr">
        <is>
          <t>&lt;Insert Commentary&gt;</t>
        </is>
      </c>
    </row>
    <row r="10">
      <c r="B10" s="14" t="n">
        <v>4</v>
      </c>
      <c r="C10" s="11" t="inlineStr">
        <is>
          <t>Triangulation</t>
        </is>
      </c>
      <c r="D10" s="12">
        <f>AVERAGE(D7:D9)</f>
        <v/>
      </c>
      <c r="E10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8"/>
  <sheetViews>
    <sheetView workbookViewId="0">
      <selection activeCell="C19" sqref="C19"/>
    </sheetView>
  </sheetViews>
  <sheetFormatPr baseColWidth="10" defaultColWidth="8.6640625" defaultRowHeight="11"/>
  <cols>
    <col width="2.33203125" customWidth="1" style="1" min="1" max="1"/>
    <col width="9.5" customWidth="1" style="1" min="2" max="2"/>
    <col width="21.1640625" customWidth="1" style="1" min="3" max="3"/>
    <col width="15.33203125" customWidth="1" style="1" min="4" max="5"/>
    <col width="1.6640625" customWidth="1" style="1" min="6" max="6"/>
    <col width="19.33203125" customWidth="1" style="1" min="7" max="7"/>
    <col width="8.6640625" customWidth="1" style="1" min="8" max="8"/>
    <col width="8.6640625" customWidth="1" style="1" min="9" max="16384"/>
  </cols>
  <sheetData>
    <row r="2" ht="13" customHeight="1" s="36">
      <c r="B2" s="2" t="inlineStr">
        <is>
          <t>AI Diligence Artifact</t>
        </is>
      </c>
    </row>
    <row r="3">
      <c r="B3" s="7" t="inlineStr">
        <is>
          <t>&lt;Segment&gt;, &lt;Scope&gt;</t>
        </is>
      </c>
    </row>
    <row r="5">
      <c r="B5" s="3" t="inlineStr">
        <is>
          <t>Step 2: Task List Inventory</t>
        </is>
      </c>
    </row>
    <row r="6" ht="14" customHeight="1" s="36">
      <c r="B6" s="14" t="inlineStr">
        <is>
          <t>Entry #</t>
        </is>
      </c>
      <c r="C6" s="4" t="inlineStr">
        <is>
          <t>Task</t>
        </is>
      </c>
      <c r="D6" s="4" t="inlineStr">
        <is>
          <t>Source</t>
        </is>
      </c>
      <c r="E6" s="4" t="inlineStr">
        <is>
          <t>Comments</t>
        </is>
      </c>
    </row>
    <row r="7">
      <c r="B7" s="14" t="n">
        <v>1</v>
      </c>
      <c r="C7" s="15" t="n">
        <v>0</v>
      </c>
      <c r="D7" s="7" t="inlineStr">
        <is>
          <t>&lt;Insert Source, Linked&gt;</t>
        </is>
      </c>
      <c r="E7" s="7" t="inlineStr">
        <is>
          <t>&lt;Insert Commentary&gt;</t>
        </is>
      </c>
    </row>
    <row r="8">
      <c r="B8" s="14" t="n">
        <v>2</v>
      </c>
      <c r="C8" s="15" t="n">
        <v>0</v>
      </c>
      <c r="D8" s="7" t="inlineStr">
        <is>
          <t>&lt;Insert Source, Linked&gt;</t>
        </is>
      </c>
      <c r="E8" s="7" t="inlineStr">
        <is>
          <t>&lt;Insert Commentary&gt;</t>
        </is>
      </c>
    </row>
    <row r="9">
      <c r="B9" s="14" t="n">
        <v>3</v>
      </c>
      <c r="C9" s="15" t="n">
        <v>0</v>
      </c>
      <c r="D9" s="7" t="inlineStr">
        <is>
          <t>&lt;Insert Source, Linked&gt;</t>
        </is>
      </c>
      <c r="E9" s="7" t="inlineStr">
        <is>
          <t>&lt;Insert Commentary&gt;</t>
        </is>
      </c>
    </row>
    <row r="10">
      <c r="B10" s="14">
        <f>B9+1</f>
        <v/>
      </c>
      <c r="C10" s="15" t="n">
        <v>0</v>
      </c>
      <c r="D10" s="7" t="inlineStr">
        <is>
          <t>&lt;Insert Source, Linked&gt;</t>
        </is>
      </c>
      <c r="E10" s="7" t="inlineStr">
        <is>
          <t>&lt;Insert Commentary&gt;</t>
        </is>
      </c>
    </row>
    <row r="11">
      <c r="B11" s="14">
        <f>B10+1</f>
        <v/>
      </c>
      <c r="C11" s="15" t="n">
        <v>0</v>
      </c>
      <c r="D11" s="7" t="inlineStr">
        <is>
          <t>&lt;Insert Source, Linked&gt;</t>
        </is>
      </c>
      <c r="E11" s="7" t="inlineStr">
        <is>
          <t>&lt;Insert Commentary&gt;</t>
        </is>
      </c>
    </row>
    <row r="12">
      <c r="B12" s="14">
        <f>B11+1</f>
        <v/>
      </c>
      <c r="C12" s="15" t="n">
        <v>0</v>
      </c>
      <c r="D12" s="7" t="inlineStr">
        <is>
          <t>&lt;Insert Source, Linked&gt;</t>
        </is>
      </c>
      <c r="E12" s="7" t="inlineStr">
        <is>
          <t>&lt;Insert Commentary&gt;</t>
        </is>
      </c>
    </row>
    <row r="13">
      <c r="B13" s="14">
        <f>B12+1</f>
        <v/>
      </c>
      <c r="C13" s="15" t="n">
        <v>0</v>
      </c>
      <c r="D13" s="7" t="inlineStr">
        <is>
          <t>&lt;Insert Source, Linked&gt;</t>
        </is>
      </c>
      <c r="E13" s="7" t="inlineStr">
        <is>
          <t>&lt;Insert Commentary&gt;</t>
        </is>
      </c>
    </row>
    <row r="14">
      <c r="B14" s="14">
        <f>B13+1</f>
        <v/>
      </c>
      <c r="C14" s="15" t="n">
        <v>0</v>
      </c>
      <c r="D14" s="7" t="inlineStr">
        <is>
          <t>&lt;Insert Source, Linked&gt;</t>
        </is>
      </c>
      <c r="E14" s="7" t="inlineStr">
        <is>
          <t>&lt;Insert Commentary&gt;</t>
        </is>
      </c>
    </row>
    <row r="15">
      <c r="B15" s="14">
        <f>B14+1</f>
        <v/>
      </c>
      <c r="C15" s="15" t="n">
        <v>0</v>
      </c>
      <c r="D15" s="7" t="inlineStr">
        <is>
          <t>&lt;Insert Source, Linked&gt;</t>
        </is>
      </c>
      <c r="E15" s="7" t="inlineStr">
        <is>
          <t>&lt;Insert Commentary&gt;</t>
        </is>
      </c>
    </row>
    <row r="16">
      <c r="B16" s="14">
        <f>B15+1</f>
        <v/>
      </c>
      <c r="C16" s="15" t="n">
        <v>0</v>
      </c>
      <c r="D16" s="7" t="inlineStr">
        <is>
          <t>&lt;Insert Source, Linked&gt;</t>
        </is>
      </c>
      <c r="E16" s="7" t="inlineStr">
        <is>
          <t>&lt;Insert Commentary&gt;</t>
        </is>
      </c>
    </row>
    <row r="17">
      <c r="B17" s="14">
        <f>B16+1</f>
        <v/>
      </c>
      <c r="C17" s="15" t="n">
        <v>0</v>
      </c>
      <c r="D17" s="7" t="inlineStr">
        <is>
          <t>&lt;Insert Source, Linked&gt;</t>
        </is>
      </c>
      <c r="E17" s="7" t="inlineStr">
        <is>
          <t>&lt;Insert Commentary&gt;</t>
        </is>
      </c>
    </row>
    <row r="18">
      <c r="B18" s="14">
        <f>B17+1</f>
        <v/>
      </c>
      <c r="C18" s="15" t="n">
        <v>0</v>
      </c>
      <c r="D18" s="7" t="inlineStr">
        <is>
          <t>&lt;Insert Source, Linked&gt;</t>
        </is>
      </c>
      <c r="E18" s="7" t="inlineStr">
        <is>
          <t>&lt;Insert Commentary&gt;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R18"/>
  <sheetViews>
    <sheetView zoomScale="71" workbookViewId="0">
      <selection activeCell="D11" sqref="D11"/>
    </sheetView>
  </sheetViews>
  <sheetFormatPr baseColWidth="10" defaultColWidth="8.6640625" defaultRowHeight="11"/>
  <cols>
    <col width="2.33203125" customWidth="1" style="1" min="1" max="1"/>
    <col width="9.5" customWidth="1" style="1" min="2" max="2"/>
    <col width="21.1640625" customWidth="1" style="1" min="3" max="3"/>
    <col width="18.5" customWidth="1" style="1" min="4" max="15"/>
    <col width="8.6640625" customWidth="1" style="1" min="16" max="16"/>
    <col width="15.6640625" customWidth="1" style="1" min="17" max="17"/>
    <col width="19.1640625" customWidth="1" style="1" min="18" max="18"/>
    <col width="8.6640625" customWidth="1" style="1" min="19" max="19"/>
    <col width="8.6640625" customWidth="1" style="1" min="20" max="16384"/>
  </cols>
  <sheetData>
    <row r="2" ht="13" customHeight="1" s="36">
      <c r="B2" s="2" t="inlineStr">
        <is>
          <t>AI Diligence Artifact</t>
        </is>
      </c>
    </row>
    <row r="3">
      <c r="B3" s="7" t="inlineStr">
        <is>
          <t>&lt;Segment&gt;, &lt;Scope&gt;</t>
        </is>
      </c>
    </row>
    <row r="5">
      <c r="B5" s="3" t="inlineStr">
        <is>
          <t>Step 3: Atom Matrix Mapping</t>
        </is>
      </c>
      <c r="D5" s="1" t="inlineStr">
        <is>
          <t>Locating, accessing, and assembling relevant inputs from systems or repositories. Includes search/query formulation, permission-aware retrieval, source identification, and assembling clean candidate document or data set. Ends before transforming content into structured fields.</t>
        </is>
      </c>
      <c r="E5" s="1" t="inlineStr">
        <is>
          <t>Converting unstructured or semi-structured inputs into structured fields or code representation. Includes OCR, text extraction, parsing, entity and field extraction, classification, and form completion. Excludes cross-source harmonization and canonical write-back.</t>
        </is>
      </c>
      <c r="F5" s="1" t="inlineStr">
        <is>
          <t>Making structured data consistent across sources, systems, and time. Includes schema mapping, code and unit normalization, deduplication and entity resolution, reconciliation against constraints, and safe write-back to canonical store or workflow.</t>
        </is>
      </c>
      <c r="G5" s="1" t="inlineStr">
        <is>
          <t>Executing explicit rules or deterministic transformations that compute outputs or update systems. Includes calculations, script/analytics pipelines, policy-as-code, templated models, ETL, and CRUD-style transaction processing.</t>
        </is>
      </c>
      <c r="H5" s="1" t="inlineStr">
        <is>
          <t>Classifying, ranking, routing, or pre-adjudicating cases using explicit criteria, scorecards, or scoring models with bounded reasoning. Includes eligibility screening, risk scoring against known models, prioritization, and next-best-action recommendations under defined rules.</t>
        </is>
      </c>
      <c r="I5" s="1" t="inlineStr">
        <is>
          <t>Making one or more irreversible decisions where ambiguity, high-stakes contexts, or accountability materially matters and fully explicit rules or static heuristics are insufficient. Requires judgment, context-aware reasoning, and handling of edge cases.</t>
        </is>
      </c>
      <c r="J5" s="1" t="inlineStr">
        <is>
          <t>Producing shareable artifacts such as emails, memos, reports, presentations, specifications, and documentation. Includes summarization, narrative synthesis, citation support, formatting, and assembly into product output structures.</t>
        </is>
      </c>
      <c r="K5" s="1" t="inlineStr">
        <is>
          <t>Two-way communication with humans to gather information, align goals, teach, persuade, negotiate, de-escalate, or move work forward. Includes internal and external stakeholders; interaction and synchrony are modeled, not separate atoms.</t>
        </is>
      </c>
      <c r="L5" s="1" t="inlineStr">
        <is>
          <t>Coordinating multiple processes over time through routing, handoffs, scheduling, follow-ups, queue management, state tracking, escalation, and resolution of broken 'happy paths.' Excludes substantive validation or correctness.</t>
        </is>
      </c>
      <c r="M5" s="1" t="inlineStr">
        <is>
          <t>Work required to verify correctness, safety, policy adherence, governance, and evidentiary sufficiency. Includes testing and validation, monitoring, policy enforcement, checks, audit trails, documentation, and incident response loops.</t>
        </is>
      </c>
      <c r="N5" s="1" t="inlineStr">
        <is>
          <t>Hands-on real-world actions such as moving or manipulating objects, operating equipment, installation, inspections, bedside tasks, logistics, and site work. For estimation it must be bounded as structured/predictable or variable/unstructured.</t>
        </is>
      </c>
      <c r="O5" s="1" t="inlineStr">
        <is>
          <t>Hands-on real-world actions such as moving or manipulating objects, operating equipment, installation, inspections, bedside tasks, logistics, and site work. For estimation it must be bounded as structured/predictable or variable/unstructured.</t>
        </is>
      </c>
      <c r="P5" s="1" t="inlineStr">
        <is>
          <t xml:space="preserve"> </t>
        </is>
      </c>
      <c r="Q5" s="1" t="inlineStr">
        <is>
          <t xml:space="preserve"> </t>
        </is>
      </c>
    </row>
    <row r="6" ht="35.5" customHeight="1" s="36">
      <c r="B6" s="14" t="inlineStr">
        <is>
          <t>Entry #</t>
        </is>
      </c>
      <c r="C6" s="4" t="inlineStr">
        <is>
          <t>Task</t>
        </is>
      </c>
      <c r="D6" s="17" t="inlineStr">
        <is>
          <t>1. Information discovery &amp; retrieval</t>
        </is>
      </c>
      <c r="E6" s="17" t="inlineStr">
        <is>
          <t>2. Extraction &amp; structuring</t>
        </is>
      </c>
      <c r="F6" s="17" t="inlineStr">
        <is>
          <t>3. Normalization, reconciliation &amp; integration</t>
        </is>
      </c>
      <c r="G6" s="17" t="inlineStr">
        <is>
          <t>4. Deterministic execution &amp; transaction processing</t>
        </is>
      </c>
      <c r="H6" s="17" t="inlineStr">
        <is>
          <t>5. Structured triage &amp; decision support</t>
        </is>
      </c>
      <c r="I6" s="17" t="inlineStr">
        <is>
          <t>6. Authority-bearing judgment &amp; decisioning</t>
        </is>
      </c>
      <c r="J6" s="17" t="inlineStr">
        <is>
          <t>7. Drafting, synthesis &amp; artifact assembly</t>
        </is>
      </c>
      <c r="K6" s="17" t="inlineStr">
        <is>
          <t>8. Stakeholder interaction &amp; influence</t>
        </is>
      </c>
      <c r="L6" s="17" t="inlineStr">
        <is>
          <t>9. Workflow orchestration &amp; exception resolution</t>
        </is>
      </c>
      <c r="M6" s="17" t="inlineStr">
        <is>
          <t>10. Assurance, compliance &amp; traceability</t>
        </is>
      </c>
      <c r="N6" s="17" t="inlineStr">
        <is>
          <t>11. Physical execution - Structured / Predictable</t>
        </is>
      </c>
      <c r="O6" s="17" t="inlineStr">
        <is>
          <t>12. Physical execution - Variable/unstructured</t>
        </is>
      </c>
      <c r="P6" s="4" t="inlineStr">
        <is>
          <t>Check</t>
        </is>
      </c>
      <c r="Q6" s="4" t="inlineStr">
        <is>
          <t>Source</t>
        </is>
      </c>
      <c r="R6" s="4" t="inlineStr">
        <is>
          <t>Comments</t>
        </is>
      </c>
    </row>
    <row r="7">
      <c r="B7" s="14" t="n">
        <v>1</v>
      </c>
      <c r="C7" s="16">
        <f>'Step 2'!C7</f>
        <v/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21">
        <f>IF(1-SUM(D7:O7)=0,"pass", "fail")</f>
        <v/>
      </c>
      <c r="Q7" s="18" t="inlineStr">
        <is>
          <t>&lt;Insert Source, Linked&gt;</t>
        </is>
      </c>
      <c r="R7" s="18" t="inlineStr">
        <is>
          <t>&lt;Insert Commentary&gt;</t>
        </is>
      </c>
    </row>
    <row r="8">
      <c r="B8" s="14" t="n">
        <v>2</v>
      </c>
      <c r="C8" s="16">
        <f>'Step 2'!C8</f>
        <v/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21">
        <f>IF(1-SUM(D8:O8)=0,"pass", "fail")</f>
        <v/>
      </c>
      <c r="Q8" s="18" t="inlineStr">
        <is>
          <t>&lt;Insert Source, Linked&gt;</t>
        </is>
      </c>
      <c r="R8" s="18" t="inlineStr">
        <is>
          <t>&lt;Insert Commentary&gt;</t>
        </is>
      </c>
    </row>
    <row r="9">
      <c r="B9" s="14" t="n">
        <v>3</v>
      </c>
      <c r="C9" s="16">
        <f>'Step 2'!C9</f>
        <v/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21">
        <f>IF(1-SUM(D9:O9)=0,"pass", "fail")</f>
        <v/>
      </c>
      <c r="Q9" s="18" t="inlineStr">
        <is>
          <t>&lt;Insert Source, Linked&gt;</t>
        </is>
      </c>
      <c r="R9" s="18" t="inlineStr">
        <is>
          <t>&lt;Insert Commentary&gt;</t>
        </is>
      </c>
    </row>
    <row r="10">
      <c r="B10" s="14">
        <f>B9+1</f>
        <v/>
      </c>
      <c r="C10" s="16">
        <f>'Step 2'!C10</f>
        <v/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21">
        <f>IF(1-SUM(D10:O10)=0,"pass", "fail")</f>
        <v/>
      </c>
      <c r="Q10" s="18" t="inlineStr">
        <is>
          <t>&lt;Insert Source, Linked&gt;</t>
        </is>
      </c>
      <c r="R10" s="18" t="inlineStr">
        <is>
          <t>&lt;Insert Commentary&gt;</t>
        </is>
      </c>
    </row>
    <row r="11">
      <c r="B11" s="14">
        <f>B10+1</f>
        <v/>
      </c>
      <c r="C11" s="16">
        <f>'Step 2'!C11</f>
        <v/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21">
        <f>IF(1-SUM(D11:O11)=0,"pass", "fail")</f>
        <v/>
      </c>
      <c r="Q11" s="18" t="inlineStr">
        <is>
          <t>&lt;Insert Source, Linked&gt;</t>
        </is>
      </c>
      <c r="R11" s="18" t="inlineStr">
        <is>
          <t>&lt;Insert Commentary&gt;</t>
        </is>
      </c>
    </row>
    <row r="12">
      <c r="B12" s="14">
        <f>B11+1</f>
        <v/>
      </c>
      <c r="C12" s="16">
        <f>'Step 2'!C12</f>
        <v/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21">
        <f>IF(1-SUM(D12:O12)=0,"pass", "fail")</f>
        <v/>
      </c>
      <c r="Q12" s="18" t="inlineStr">
        <is>
          <t>&lt;Insert Source, Linked&gt;</t>
        </is>
      </c>
      <c r="R12" s="18" t="inlineStr">
        <is>
          <t>&lt;Insert Commentary&gt;</t>
        </is>
      </c>
    </row>
    <row r="13">
      <c r="B13" s="14">
        <f>B12+1</f>
        <v/>
      </c>
      <c r="C13" s="16">
        <f>'Step 2'!C13</f>
        <v/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21">
        <f>IF(1-SUM(D13:O13)=0,"pass", "fail")</f>
        <v/>
      </c>
      <c r="Q13" s="18" t="inlineStr">
        <is>
          <t>&lt;Insert Source, Linked&gt;</t>
        </is>
      </c>
      <c r="R13" s="18" t="inlineStr">
        <is>
          <t>&lt;Insert Commentary&gt;</t>
        </is>
      </c>
    </row>
    <row r="14">
      <c r="B14" s="14">
        <f>B13+1</f>
        <v/>
      </c>
      <c r="C14" s="16">
        <f>'Step 2'!C14</f>
        <v/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21">
        <f>IF(1-SUM(D14:O14)=0,"pass", "fail")</f>
        <v/>
      </c>
      <c r="Q14" s="18" t="inlineStr">
        <is>
          <t>&lt;Insert Source, Linked&gt;</t>
        </is>
      </c>
      <c r="R14" s="18" t="inlineStr">
        <is>
          <t>&lt;Insert Commentary&gt;</t>
        </is>
      </c>
    </row>
    <row r="15">
      <c r="B15" s="14">
        <f>B14+1</f>
        <v/>
      </c>
      <c r="C15" s="16">
        <f>'Step 2'!C15</f>
        <v/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21">
        <f>IF(1-SUM(D15:O15)=0,"pass", "fail")</f>
        <v/>
      </c>
      <c r="Q15" s="18" t="inlineStr">
        <is>
          <t>&lt;Insert Source, Linked&gt;</t>
        </is>
      </c>
      <c r="R15" s="18" t="inlineStr">
        <is>
          <t>&lt;Insert Commentary&gt;</t>
        </is>
      </c>
    </row>
    <row r="16">
      <c r="B16" s="14">
        <f>B15+1</f>
        <v/>
      </c>
      <c r="C16" s="16">
        <f>'Step 2'!C16</f>
        <v/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21">
        <f>IF(1-SUM(D16:O16)=0,"pass", "fail")</f>
        <v/>
      </c>
      <c r="Q16" s="18" t="inlineStr">
        <is>
          <t>&lt;Insert Source, Linked&gt;</t>
        </is>
      </c>
      <c r="R16" s="18" t="inlineStr">
        <is>
          <t>&lt;Insert Commentary&gt;</t>
        </is>
      </c>
    </row>
    <row r="17">
      <c r="B17" s="14" t="n">
        <v>11</v>
      </c>
      <c r="C17" s="16">
        <f>'Step 2'!C17</f>
        <v/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21">
        <f>IF(1-SUM(D17:O17)=0,"pass", "fail")</f>
        <v/>
      </c>
      <c r="Q17" s="18" t="inlineStr">
        <is>
          <t>&lt;Insert Source, Linked&gt;</t>
        </is>
      </c>
      <c r="R17" s="18" t="inlineStr">
        <is>
          <t>&lt;Insert Commentary&gt;</t>
        </is>
      </c>
    </row>
    <row r="18">
      <c r="B18" s="14" t="n">
        <v>12</v>
      </c>
      <c r="C18" s="16">
        <f>'Step 2'!C18</f>
        <v/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21">
        <f>IF(1-SUM(D18:O18)=0,"pass", "fail")</f>
        <v/>
      </c>
      <c r="Q18" s="18" t="inlineStr">
        <is>
          <t>&lt;Insert Source, Linked&gt;</t>
        </is>
      </c>
      <c r="R18" s="18" t="inlineStr">
        <is>
          <t>&lt;Insert Commentary&gt;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G9" sqref="G9"/>
    </sheetView>
  </sheetViews>
  <sheetFormatPr baseColWidth="10" defaultColWidth="8.6640625" defaultRowHeight="11"/>
  <cols>
    <col width="2.33203125" customWidth="1" style="1" min="1" max="1"/>
    <col width="9.5" customWidth="1" style="1" min="2" max="2"/>
    <col width="21.1640625" customWidth="1" style="1" min="3" max="3"/>
    <col width="18.5" customWidth="1" style="1" min="4" max="14"/>
    <col width="8.6640625" customWidth="1" style="1" min="15" max="15"/>
    <col width="15.6640625" customWidth="1" style="1" min="16" max="16"/>
    <col width="19.1640625" customWidth="1" style="1" min="17" max="17"/>
    <col width="8.6640625" customWidth="1" style="1" min="18" max="18"/>
    <col width="8.6640625" customWidth="1" style="1" min="19" max="16384"/>
  </cols>
  <sheetData>
    <row r="2" ht="13" customHeight="1" s="36">
      <c r="B2" s="2" t="inlineStr">
        <is>
          <t>AI Diligence Artifact</t>
        </is>
      </c>
    </row>
    <row r="3">
      <c r="B3" s="7" t="inlineStr">
        <is>
          <t>&lt;Segment&gt;, &lt;Scope&gt;</t>
        </is>
      </c>
    </row>
    <row r="5">
      <c r="B5" s="3" t="inlineStr">
        <is>
          <t>Appendix A: House View of Automation Estimates</t>
        </is>
      </c>
    </row>
    <row r="6" ht="29.5" customHeight="1" s="36">
      <c r="B6" s="4" t="inlineStr">
        <is>
          <t>Estimate</t>
        </is>
      </c>
      <c r="C6" s="17">
        <f>'Step 3'!D6</f>
        <v/>
      </c>
      <c r="D6" s="17">
        <f>'Step 3'!E6</f>
        <v/>
      </c>
      <c r="E6" s="17">
        <f>'Step 3'!F6</f>
        <v/>
      </c>
      <c r="F6" s="17">
        <f>'Step 3'!G6</f>
        <v/>
      </c>
      <c r="G6" s="17">
        <f>'Step 3'!H6</f>
        <v/>
      </c>
      <c r="H6" s="17">
        <f>'Step 3'!I6</f>
        <v/>
      </c>
      <c r="I6" s="17">
        <f>'Step 3'!J6</f>
        <v/>
      </c>
      <c r="J6" s="17">
        <f>'Step 3'!K6</f>
        <v/>
      </c>
      <c r="K6" s="17">
        <f>'Step 3'!L6</f>
        <v/>
      </c>
      <c r="L6" s="17">
        <f>'Step 3'!M6</f>
        <v/>
      </c>
      <c r="M6" s="17">
        <f>'Step 3'!N6</f>
        <v/>
      </c>
      <c r="N6" s="17">
        <f>'Step 3'!O6</f>
        <v/>
      </c>
      <c r="O6" s="4" t="n"/>
      <c r="P6" s="4" t="n"/>
      <c r="Q6" s="4" t="n"/>
    </row>
    <row r="7">
      <c r="B7" s="14">
        <f t="array" ref="B7:B12">TRANSPOSE(Sheet5!B1:G1)</f>
        <v/>
      </c>
      <c r="C7" s="20" t="n">
        <v>0.5</v>
      </c>
      <c r="D7" s="20" t="n">
        <v>0.55</v>
      </c>
      <c r="E7" s="20" t="n">
        <v>0.25</v>
      </c>
      <c r="F7" s="20" t="n">
        <v>0.45</v>
      </c>
      <c r="G7" s="20" t="n">
        <v>0.5</v>
      </c>
      <c r="H7" s="20" t="n">
        <v>0.1</v>
      </c>
      <c r="I7" s="20" t="n">
        <v>0.5</v>
      </c>
      <c r="J7" s="20" t="n">
        <v>0.15</v>
      </c>
      <c r="K7" s="20" t="n">
        <v>0.15</v>
      </c>
      <c r="L7" s="20" t="n">
        <v>0.2</v>
      </c>
      <c r="M7" s="20" t="n">
        <v>0.08</v>
      </c>
      <c r="N7" s="20" t="n">
        <v>0.03</v>
      </c>
      <c r="P7" s="18" t="n"/>
      <c r="Q7" s="18" t="n"/>
    </row>
    <row r="8">
      <c r="B8" s="14" t="inlineStr">
        <is>
          <t>Today High</t>
        </is>
      </c>
      <c r="C8" s="20" t="n">
        <v>0.75</v>
      </c>
      <c r="D8" s="20" t="n">
        <v>0.8</v>
      </c>
      <c r="E8" s="20" t="n">
        <v>0.55</v>
      </c>
      <c r="F8" s="20" t="n">
        <v>0.7</v>
      </c>
      <c r="G8" s="20" t="n">
        <v>0.75</v>
      </c>
      <c r="H8" s="20" t="n">
        <v>0.3</v>
      </c>
      <c r="I8" s="20" t="n">
        <v>0.75</v>
      </c>
      <c r="J8" s="20" t="n">
        <v>0.35</v>
      </c>
      <c r="K8" s="20" t="n">
        <v>0.4</v>
      </c>
      <c r="L8" s="20" t="n">
        <v>0.45</v>
      </c>
      <c r="M8" s="20" t="n">
        <v>0.2</v>
      </c>
      <c r="N8" s="20" t="n">
        <v>0.1</v>
      </c>
      <c r="P8" s="18" t="n"/>
      <c r="Q8" s="18" t="n"/>
    </row>
    <row r="9">
      <c r="B9" s="14" t="inlineStr">
        <is>
          <t>2–3y Low</t>
        </is>
      </c>
      <c r="C9" s="20" t="n">
        <v>0.65</v>
      </c>
      <c r="D9" s="20" t="n">
        <v>0.7</v>
      </c>
      <c r="E9" s="20" t="n">
        <v>0.45</v>
      </c>
      <c r="F9" s="20" t="n">
        <v>0.6</v>
      </c>
      <c r="G9" s="20" t="n">
        <v>0.65</v>
      </c>
      <c r="H9" s="20" t="n">
        <v>0.2</v>
      </c>
      <c r="I9" s="20" t="n">
        <v>0.65</v>
      </c>
      <c r="J9" s="20" t="n">
        <v>0.25</v>
      </c>
      <c r="K9" s="20" t="n">
        <v>0.3</v>
      </c>
      <c r="L9" s="20" t="n">
        <v>0.3</v>
      </c>
      <c r="M9" s="20" t="n">
        <v>0.12</v>
      </c>
      <c r="N9" s="20" t="n">
        <v>0.05</v>
      </c>
      <c r="P9" s="18" t="n"/>
      <c r="Q9" s="18" t="n"/>
    </row>
    <row r="10">
      <c r="B10" s="14" t="inlineStr">
        <is>
          <t>2–3y High</t>
        </is>
      </c>
      <c r="C10" s="20" t="n">
        <v>0.9</v>
      </c>
      <c r="D10" s="20" t="n">
        <v>0.92</v>
      </c>
      <c r="E10" s="20" t="n">
        <v>0.75</v>
      </c>
      <c r="F10" s="20" t="n">
        <v>0.88</v>
      </c>
      <c r="G10" s="20" t="n">
        <v>0.9</v>
      </c>
      <c r="H10" s="20" t="n">
        <v>0.45</v>
      </c>
      <c r="I10" s="20" t="n">
        <v>0.88</v>
      </c>
      <c r="J10" s="20" t="n">
        <v>0.5</v>
      </c>
      <c r="K10" s="20" t="n">
        <v>0.6</v>
      </c>
      <c r="L10" s="20" t="n">
        <v>0.6</v>
      </c>
      <c r="M10" s="20" t="n">
        <v>0.25</v>
      </c>
      <c r="N10" s="20" t="n">
        <v>0.13</v>
      </c>
      <c r="P10" s="18" t="n"/>
      <c r="Q10" s="18" t="n"/>
    </row>
    <row r="11">
      <c r="B11" s="14" t="inlineStr">
        <is>
          <t>5–10y Low</t>
        </is>
      </c>
      <c r="C11" s="20" t="n">
        <v>0.8</v>
      </c>
      <c r="D11" s="20" t="n">
        <v>0.85</v>
      </c>
      <c r="E11" s="20" t="n">
        <v>0.6</v>
      </c>
      <c r="F11" s="20" t="n">
        <v>0.75</v>
      </c>
      <c r="G11" s="20" t="n">
        <v>0.8</v>
      </c>
      <c r="H11" s="20" t="n">
        <v>0.3</v>
      </c>
      <c r="I11" s="20" t="n">
        <v>0.75</v>
      </c>
      <c r="J11" s="20" t="n">
        <v>0.35</v>
      </c>
      <c r="K11" s="20" t="n">
        <v>0.5</v>
      </c>
      <c r="L11" s="20" t="n">
        <v>0.45</v>
      </c>
      <c r="M11" s="20" t="n">
        <v>0.15</v>
      </c>
      <c r="N11" s="20" t="n">
        <v>0.07000000000000001</v>
      </c>
      <c r="P11" s="18" t="n"/>
      <c r="Q11" s="18" t="n"/>
    </row>
    <row r="12">
      <c r="B12" s="14" t="inlineStr">
        <is>
          <t>5–10y High</t>
        </is>
      </c>
      <c r="C12" s="20" t="n">
        <v>0.95</v>
      </c>
      <c r="D12" s="20" t="n">
        <v>0.98</v>
      </c>
      <c r="E12" s="20" t="n">
        <v>0.9</v>
      </c>
      <c r="F12" s="20" t="n">
        <v>0.95</v>
      </c>
      <c r="G12" s="20" t="n">
        <v>0.95</v>
      </c>
      <c r="H12" s="20" t="n">
        <v>0.65</v>
      </c>
      <c r="I12" s="20" t="n">
        <v>0.95</v>
      </c>
      <c r="J12" s="20" t="n">
        <v>0.7</v>
      </c>
      <c r="K12" s="20" t="n">
        <v>0.85</v>
      </c>
      <c r="L12" s="20" t="n">
        <v>0.8</v>
      </c>
      <c r="M12" s="20" t="n">
        <v>0.3</v>
      </c>
      <c r="N12" s="20" t="n">
        <v>0.15</v>
      </c>
      <c r="P12" s="18" t="n"/>
      <c r="Q12" s="18" t="n"/>
    </row>
    <row r="13">
      <c r="B13" s="14" t="n"/>
      <c r="C13" s="1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P13" s="18" t="n"/>
      <c r="Q13" s="18" t="n"/>
    </row>
    <row r="14">
      <c r="B14" s="14" t="n"/>
      <c r="C14" s="1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P14" s="18" t="n"/>
      <c r="Q14" s="18" t="n"/>
    </row>
    <row r="15">
      <c r="B15" s="14" t="n"/>
      <c r="C15" s="1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P15" s="18" t="n"/>
      <c r="Q15" s="18" t="n"/>
    </row>
    <row r="16">
      <c r="B16" s="14" t="n"/>
      <c r="C16" s="1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P16" s="18" t="n"/>
      <c r="Q16" s="18" t="n"/>
    </row>
    <row r="17">
      <c r="B17" s="14" t="n"/>
      <c r="C17" s="1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P17" s="18" t="n"/>
      <c r="Q17" s="1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21"/>
  <sheetViews>
    <sheetView zoomScale="72" workbookViewId="0">
      <selection activeCell="P7" sqref="P7"/>
    </sheetView>
  </sheetViews>
  <sheetFormatPr baseColWidth="10" defaultColWidth="8.6640625" defaultRowHeight="11"/>
  <cols>
    <col width="2.33203125" customWidth="1" style="1" min="1" max="1"/>
    <col width="9.5" customWidth="1" style="1" min="2" max="2"/>
    <col width="21.1640625" customWidth="1" style="1" min="3" max="4"/>
    <col width="15.33203125" customWidth="1" style="1" min="5" max="6"/>
    <col width="1.6640625" customWidth="1" style="1" min="7" max="7"/>
    <col width="14.83203125" customWidth="1" style="1" min="8" max="19"/>
    <col width="8.6640625" customWidth="1" style="1" min="20" max="20"/>
    <col width="8.6640625" customWidth="1" style="1" min="21" max="16384"/>
  </cols>
  <sheetData>
    <row r="2" ht="13" customHeight="1" s="36">
      <c r="B2" s="2" t="inlineStr">
        <is>
          <t>AI Diligence Artifact</t>
        </is>
      </c>
    </row>
    <row r="3">
      <c r="B3" s="7" t="inlineStr">
        <is>
          <t>&lt;Segment&gt;, &lt;Scope&gt;</t>
        </is>
      </c>
    </row>
    <row r="5">
      <c r="B5" s="3" t="inlineStr">
        <is>
          <t>Step 4: Task List Inventory</t>
        </is>
      </c>
      <c r="F5" s="1" t="inlineStr">
        <is>
          <t>Remaining Labor</t>
        </is>
      </c>
      <c r="H5" s="5">
        <f>1-_xlfn.XLOOKUP($C$21,'Appendix A'!$B:$B,'Appendix A'!C:C,"ERR",0)</f>
        <v/>
      </c>
      <c r="I5" s="5">
        <f>1-_xlfn.XLOOKUP($C$21,'Appendix A'!$B:$B,'Appendix A'!D:D,"ERR",0)</f>
        <v/>
      </c>
      <c r="J5" s="5">
        <f>1-_xlfn.XLOOKUP($C$21,'Appendix A'!$B:$B,'Appendix A'!E:E,"ERR",0)</f>
        <v/>
      </c>
      <c r="K5" s="5">
        <f>1-_xlfn.XLOOKUP($C$21,'Appendix A'!$B:$B,'Appendix A'!F:F,"ERR",0)</f>
        <v/>
      </c>
      <c r="L5" s="5">
        <f>1-_xlfn.XLOOKUP($C$21,'Appendix A'!$B:$B,'Appendix A'!G:G,"ERR",0)</f>
        <v/>
      </c>
      <c r="M5" s="5">
        <f>1-_xlfn.XLOOKUP($C$21,'Appendix A'!$B:$B,'Appendix A'!H:H,"ERR",0)</f>
        <v/>
      </c>
      <c r="N5" s="5">
        <f>1-_xlfn.XLOOKUP($C$21,'Appendix A'!$B:$B,'Appendix A'!I:I,"ERR",0)</f>
        <v/>
      </c>
      <c r="O5" s="5">
        <f>1-_xlfn.XLOOKUP($C$21,'Appendix A'!$B:$B,'Appendix A'!J:J,"ERR",0)</f>
        <v/>
      </c>
      <c r="P5" s="5">
        <f>1-_xlfn.XLOOKUP($C$21,'Appendix A'!$B:$B,'Appendix A'!K:K,"ERR",0)</f>
        <v/>
      </c>
      <c r="Q5" s="5">
        <f>1-_xlfn.XLOOKUP($C$21,'Appendix A'!$B:$B,'Appendix A'!L:L,"ERR",0)</f>
        <v/>
      </c>
      <c r="R5" s="5">
        <f>1-_xlfn.XLOOKUP($C$21,'Appendix A'!$B:$B,'Appendix A'!M:M,"ERR",0)</f>
        <v/>
      </c>
      <c r="S5" s="5">
        <f>1-_xlfn.XLOOKUP($C$21,'Appendix A'!$B:$B,'Appendix A'!N:N,"ERR",0)</f>
        <v/>
      </c>
    </row>
    <row r="6" ht="32" customHeight="1" s="36">
      <c r="B6" s="14" t="inlineStr">
        <is>
          <t>Entry #</t>
        </is>
      </c>
      <c r="C6" s="4" t="inlineStr">
        <is>
          <t>Task</t>
        </is>
      </c>
      <c r="D6" s="4" t="inlineStr">
        <is>
          <t>Distribution / Weight</t>
        </is>
      </c>
      <c r="E6" s="4" t="inlineStr">
        <is>
          <t>Source</t>
        </is>
      </c>
      <c r="F6" s="4" t="inlineStr">
        <is>
          <t>Comments</t>
        </is>
      </c>
      <c r="H6" s="24">
        <f>'Appendix A'!C6</f>
        <v/>
      </c>
      <c r="I6" s="24">
        <f>'Appendix A'!D6</f>
        <v/>
      </c>
      <c r="J6" s="24">
        <f>'Appendix A'!E6</f>
        <v/>
      </c>
      <c r="K6" s="24">
        <f>'Appendix A'!F6</f>
        <v/>
      </c>
      <c r="L6" s="24">
        <f>'Appendix A'!G6</f>
        <v/>
      </c>
      <c r="M6" s="24">
        <f>'Appendix A'!H6</f>
        <v/>
      </c>
      <c r="N6" s="24">
        <f>'Appendix A'!I6</f>
        <v/>
      </c>
      <c r="O6" s="24">
        <f>'Appendix A'!J6</f>
        <v/>
      </c>
      <c r="P6" s="24">
        <f>'Appendix A'!K6</f>
        <v/>
      </c>
      <c r="Q6" s="24">
        <f>'Appendix A'!L6</f>
        <v/>
      </c>
      <c r="R6" s="24">
        <f>'Appendix A'!M6</f>
        <v/>
      </c>
      <c r="S6" s="24">
        <f>'Appendix A'!N6</f>
        <v/>
      </c>
    </row>
    <row r="7">
      <c r="B7" s="14" t="n">
        <v>1</v>
      </c>
      <c r="C7" s="23">
        <f>'Step 3'!C7</f>
        <v/>
      </c>
      <c r="D7" s="8" t="n">
        <v>0</v>
      </c>
      <c r="E7" s="7" t="inlineStr">
        <is>
          <t>&lt;Insert Source, Linked&gt;</t>
        </is>
      </c>
      <c r="F7" s="7" t="inlineStr">
        <is>
          <t>&lt;Insert Commentary&gt;</t>
        </is>
      </c>
      <c r="H7" s="5">
        <f>H$5*'Step 3'!D7</f>
        <v/>
      </c>
      <c r="I7" s="5">
        <f>I$5*'Step 3'!E7</f>
        <v/>
      </c>
      <c r="J7" s="5">
        <f>J$5*'Step 3'!F7</f>
        <v/>
      </c>
      <c r="K7" s="5">
        <f>K$5*'Step 3'!G7</f>
        <v/>
      </c>
      <c r="L7" s="5">
        <f>L$5*'Step 3'!H7</f>
        <v/>
      </c>
      <c r="M7" s="5">
        <f>M$5*'Step 3'!I7</f>
        <v/>
      </c>
      <c r="N7" s="5">
        <f>N$5*'Step 3'!J7</f>
        <v/>
      </c>
      <c r="O7" s="5">
        <f>O$5*'Step 3'!K7</f>
        <v/>
      </c>
      <c r="P7" s="5">
        <f>P$5*'Step 3'!L7</f>
        <v/>
      </c>
      <c r="Q7" s="5">
        <f>Q$5*'Step 3'!M7</f>
        <v/>
      </c>
      <c r="R7" s="5">
        <f>R$5*'Step 3'!N7</f>
        <v/>
      </c>
      <c r="S7" s="5">
        <f>S$5*'Step 3'!O7</f>
        <v/>
      </c>
    </row>
    <row r="8">
      <c r="B8" s="14" t="n">
        <v>2</v>
      </c>
      <c r="C8" s="23">
        <f>'Step 3'!C8</f>
        <v/>
      </c>
      <c r="D8" s="8" t="n">
        <v>0</v>
      </c>
      <c r="E8" s="7" t="inlineStr">
        <is>
          <t>&lt;Insert Source, Linked&gt;</t>
        </is>
      </c>
      <c r="F8" s="7" t="inlineStr">
        <is>
          <t>&lt;Insert Commentary&gt;</t>
        </is>
      </c>
      <c r="H8" s="5">
        <f>H$5*'Step 3'!D8</f>
        <v/>
      </c>
      <c r="I8" s="5">
        <f>I$5*'Step 3'!E8</f>
        <v/>
      </c>
      <c r="J8" s="5">
        <f>J$5*'Step 3'!F8</f>
        <v/>
      </c>
      <c r="K8" s="5">
        <f>K$5*'Step 3'!G8</f>
        <v/>
      </c>
      <c r="L8" s="5">
        <f>L$5*'Step 3'!H8</f>
        <v/>
      </c>
      <c r="M8" s="5">
        <f>M$5*'Step 3'!I8</f>
        <v/>
      </c>
      <c r="N8" s="5">
        <f>N$5*'Step 3'!J8</f>
        <v/>
      </c>
      <c r="O8" s="5">
        <f>O$5*'Step 3'!K8</f>
        <v/>
      </c>
      <c r="P8" s="5">
        <f>P$5*'Step 3'!L8</f>
        <v/>
      </c>
      <c r="Q8" s="5">
        <f>Q$5*'Step 3'!M8</f>
        <v/>
      </c>
      <c r="R8" s="5">
        <f>R$5*'Step 3'!N8</f>
        <v/>
      </c>
      <c r="S8" s="5">
        <f>S$5*'Step 3'!O8</f>
        <v/>
      </c>
    </row>
    <row r="9">
      <c r="B9" s="14" t="n">
        <v>3</v>
      </c>
      <c r="C9" s="23">
        <f>'Step 3'!C9</f>
        <v/>
      </c>
      <c r="D9" s="8" t="n">
        <v>0</v>
      </c>
      <c r="E9" s="7" t="inlineStr">
        <is>
          <t>&lt;Insert Source, Linked&gt;</t>
        </is>
      </c>
      <c r="F9" s="7" t="inlineStr">
        <is>
          <t>&lt;Insert Commentary&gt;</t>
        </is>
      </c>
      <c r="H9" s="5">
        <f>H$5*'Step 3'!D9</f>
        <v/>
      </c>
      <c r="I9" s="5">
        <f>I$5*'Step 3'!E9</f>
        <v/>
      </c>
      <c r="J9" s="5">
        <f>J$5*'Step 3'!F9</f>
        <v/>
      </c>
      <c r="K9" s="5">
        <f>K$5*'Step 3'!G9</f>
        <v/>
      </c>
      <c r="L9" s="5">
        <f>L$5*'Step 3'!H9</f>
        <v/>
      </c>
      <c r="M9" s="5">
        <f>M$5*'Step 3'!I9</f>
        <v/>
      </c>
      <c r="N9" s="5">
        <f>N$5*'Step 3'!J9</f>
        <v/>
      </c>
      <c r="O9" s="5">
        <f>O$5*'Step 3'!K9</f>
        <v/>
      </c>
      <c r="P9" s="5">
        <f>P$5*'Step 3'!L9</f>
        <v/>
      </c>
      <c r="Q9" s="5">
        <f>Q$5*'Step 3'!M9</f>
        <v/>
      </c>
      <c r="R9" s="5">
        <f>R$5*'Step 3'!N9</f>
        <v/>
      </c>
      <c r="S9" s="5">
        <f>S$5*'Step 3'!O9</f>
        <v/>
      </c>
    </row>
    <row r="10">
      <c r="B10" s="14">
        <f>B9+1</f>
        <v/>
      </c>
      <c r="C10" s="23">
        <f>'Step 3'!C10</f>
        <v/>
      </c>
      <c r="D10" s="8" t="n">
        <v>0</v>
      </c>
      <c r="E10" s="7" t="inlineStr">
        <is>
          <t>&lt;Insert Source, Linked&gt;</t>
        </is>
      </c>
      <c r="F10" s="7" t="inlineStr">
        <is>
          <t>&lt;Insert Commentary&gt;</t>
        </is>
      </c>
      <c r="H10" s="5">
        <f>H$5*'Step 3'!D10</f>
        <v/>
      </c>
      <c r="I10" s="5">
        <f>I$5*'Step 3'!E10</f>
        <v/>
      </c>
      <c r="J10" s="5">
        <f>J$5*'Step 3'!F10</f>
        <v/>
      </c>
      <c r="K10" s="5">
        <f>K$5*'Step 3'!G10</f>
        <v/>
      </c>
      <c r="L10" s="5">
        <f>L$5*'Step 3'!H10</f>
        <v/>
      </c>
      <c r="M10" s="5">
        <f>M$5*'Step 3'!I10</f>
        <v/>
      </c>
      <c r="N10" s="5">
        <f>N$5*'Step 3'!J10</f>
        <v/>
      </c>
      <c r="O10" s="5">
        <f>O$5*'Step 3'!K10</f>
        <v/>
      </c>
      <c r="P10" s="5">
        <f>P$5*'Step 3'!L10</f>
        <v/>
      </c>
      <c r="Q10" s="5">
        <f>Q$5*'Step 3'!M10</f>
        <v/>
      </c>
      <c r="R10" s="5">
        <f>R$5*'Step 3'!N10</f>
        <v/>
      </c>
      <c r="S10" s="5">
        <f>S$5*'Step 3'!O10</f>
        <v/>
      </c>
    </row>
    <row r="11">
      <c r="B11" s="14">
        <f>B10+1</f>
        <v/>
      </c>
      <c r="C11" s="23">
        <f>'Step 3'!C11</f>
        <v/>
      </c>
      <c r="D11" s="8" t="n">
        <v>0</v>
      </c>
      <c r="E11" s="7" t="inlineStr">
        <is>
          <t>&lt;Insert Source, Linked&gt;</t>
        </is>
      </c>
      <c r="F11" s="7" t="inlineStr">
        <is>
          <t>&lt;Insert Commentary&gt;</t>
        </is>
      </c>
      <c r="H11" s="5">
        <f>H$5*'Step 3'!D11</f>
        <v/>
      </c>
      <c r="I11" s="5">
        <f>I$5*'Step 3'!E11</f>
        <v/>
      </c>
      <c r="J11" s="5">
        <f>J$5*'Step 3'!F11</f>
        <v/>
      </c>
      <c r="K11" s="5">
        <f>K$5*'Step 3'!G11</f>
        <v/>
      </c>
      <c r="L11" s="5">
        <f>L$5*'Step 3'!H11</f>
        <v/>
      </c>
      <c r="M11" s="5">
        <f>M$5*'Step 3'!I11</f>
        <v/>
      </c>
      <c r="N11" s="5">
        <f>N$5*'Step 3'!J11</f>
        <v/>
      </c>
      <c r="O11" s="5">
        <f>O$5*'Step 3'!K11</f>
        <v/>
      </c>
      <c r="P11" s="5">
        <f>P$5*'Step 3'!L11</f>
        <v/>
      </c>
      <c r="Q11" s="5">
        <f>Q$5*'Step 3'!M11</f>
        <v/>
      </c>
      <c r="R11" s="5">
        <f>R$5*'Step 3'!N11</f>
        <v/>
      </c>
      <c r="S11" s="5">
        <f>S$5*'Step 3'!O11</f>
        <v/>
      </c>
    </row>
    <row r="12">
      <c r="B12" s="14">
        <f>B11+1</f>
        <v/>
      </c>
      <c r="C12" s="23">
        <f>'Step 3'!C12</f>
        <v/>
      </c>
      <c r="D12" s="8" t="n">
        <v>0</v>
      </c>
      <c r="E12" s="7" t="inlineStr">
        <is>
          <t>&lt;Insert Source, Linked&gt;</t>
        </is>
      </c>
      <c r="F12" s="7" t="inlineStr">
        <is>
          <t>&lt;Insert Commentary&gt;</t>
        </is>
      </c>
      <c r="H12" s="5">
        <f>H$5*'Step 3'!D12</f>
        <v/>
      </c>
      <c r="I12" s="5">
        <f>I$5*'Step 3'!E12</f>
        <v/>
      </c>
      <c r="J12" s="5">
        <f>J$5*'Step 3'!F12</f>
        <v/>
      </c>
      <c r="K12" s="5">
        <f>K$5*'Step 3'!G12</f>
        <v/>
      </c>
      <c r="L12" s="5">
        <f>L$5*'Step 3'!H12</f>
        <v/>
      </c>
      <c r="M12" s="5">
        <f>M$5*'Step 3'!I12</f>
        <v/>
      </c>
      <c r="N12" s="5">
        <f>N$5*'Step 3'!J12</f>
        <v/>
      </c>
      <c r="O12" s="5">
        <f>O$5*'Step 3'!K12</f>
        <v/>
      </c>
      <c r="P12" s="5">
        <f>P$5*'Step 3'!L12</f>
        <v/>
      </c>
      <c r="Q12" s="5">
        <f>Q$5*'Step 3'!M12</f>
        <v/>
      </c>
      <c r="R12" s="5">
        <f>R$5*'Step 3'!N12</f>
        <v/>
      </c>
      <c r="S12" s="5">
        <f>S$5*'Step 3'!O12</f>
        <v/>
      </c>
    </row>
    <row r="13">
      <c r="B13" s="14">
        <f>B12+1</f>
        <v/>
      </c>
      <c r="C13" s="23">
        <f>'Step 3'!C13</f>
        <v/>
      </c>
      <c r="D13" s="8" t="n">
        <v>0</v>
      </c>
      <c r="E13" s="7" t="inlineStr">
        <is>
          <t>&lt;Insert Source, Linked&gt;</t>
        </is>
      </c>
      <c r="F13" s="7" t="inlineStr">
        <is>
          <t>&lt;Insert Commentary&gt;</t>
        </is>
      </c>
      <c r="H13" s="5">
        <f>H$5*'Step 3'!D13</f>
        <v/>
      </c>
      <c r="I13" s="5">
        <f>I$5*'Step 3'!E13</f>
        <v/>
      </c>
      <c r="J13" s="5">
        <f>J$5*'Step 3'!F13</f>
        <v/>
      </c>
      <c r="K13" s="5">
        <f>K$5*'Step 3'!G13</f>
        <v/>
      </c>
      <c r="L13" s="5">
        <f>L$5*'Step 3'!H13</f>
        <v/>
      </c>
      <c r="M13" s="5">
        <f>M$5*'Step 3'!I13</f>
        <v/>
      </c>
      <c r="N13" s="5">
        <f>N$5*'Step 3'!J13</f>
        <v/>
      </c>
      <c r="O13" s="5">
        <f>O$5*'Step 3'!K13</f>
        <v/>
      </c>
      <c r="P13" s="5">
        <f>P$5*'Step 3'!L13</f>
        <v/>
      </c>
      <c r="Q13" s="5">
        <f>Q$5*'Step 3'!M13</f>
        <v/>
      </c>
      <c r="R13" s="5">
        <f>R$5*'Step 3'!N13</f>
        <v/>
      </c>
      <c r="S13" s="5">
        <f>S$5*'Step 3'!O13</f>
        <v/>
      </c>
    </row>
    <row r="14">
      <c r="B14" s="14">
        <f>B13+1</f>
        <v/>
      </c>
      <c r="C14" s="23">
        <f>'Step 3'!C14</f>
        <v/>
      </c>
      <c r="D14" s="8" t="n">
        <v>0</v>
      </c>
      <c r="E14" s="7" t="inlineStr">
        <is>
          <t>&lt;Insert Source, Linked&gt;</t>
        </is>
      </c>
      <c r="F14" s="7" t="inlineStr">
        <is>
          <t>&lt;Insert Commentary&gt;</t>
        </is>
      </c>
      <c r="H14" s="5">
        <f>H$5*'Step 3'!D14</f>
        <v/>
      </c>
      <c r="I14" s="5">
        <f>I$5*'Step 3'!E14</f>
        <v/>
      </c>
      <c r="J14" s="5">
        <f>J$5*'Step 3'!F14</f>
        <v/>
      </c>
      <c r="K14" s="5">
        <f>K$5*'Step 3'!G14</f>
        <v/>
      </c>
      <c r="L14" s="5">
        <f>L$5*'Step 3'!H14</f>
        <v/>
      </c>
      <c r="M14" s="5">
        <f>M$5*'Step 3'!I14</f>
        <v/>
      </c>
      <c r="N14" s="5">
        <f>N$5*'Step 3'!J14</f>
        <v/>
      </c>
      <c r="O14" s="5">
        <f>O$5*'Step 3'!K14</f>
        <v/>
      </c>
      <c r="P14" s="5">
        <f>P$5*'Step 3'!L14</f>
        <v/>
      </c>
      <c r="Q14" s="5">
        <f>Q$5*'Step 3'!M14</f>
        <v/>
      </c>
      <c r="R14" s="5">
        <f>R$5*'Step 3'!N14</f>
        <v/>
      </c>
      <c r="S14" s="5">
        <f>S$5*'Step 3'!O14</f>
        <v/>
      </c>
    </row>
    <row r="15">
      <c r="B15" s="14">
        <f>B14+1</f>
        <v/>
      </c>
      <c r="C15" s="23">
        <f>'Step 3'!C15</f>
        <v/>
      </c>
      <c r="D15" s="8" t="n">
        <v>0</v>
      </c>
      <c r="E15" s="7" t="inlineStr">
        <is>
          <t>&lt;Insert Source, Linked&gt;</t>
        </is>
      </c>
      <c r="F15" s="7" t="inlineStr">
        <is>
          <t>&lt;Insert Commentary&gt;</t>
        </is>
      </c>
      <c r="H15" s="5">
        <f>H$5*'Step 3'!D15</f>
        <v/>
      </c>
      <c r="I15" s="5">
        <f>I$5*'Step 3'!E15</f>
        <v/>
      </c>
      <c r="J15" s="5">
        <f>J$5*'Step 3'!F15</f>
        <v/>
      </c>
      <c r="K15" s="5">
        <f>K$5*'Step 3'!G15</f>
        <v/>
      </c>
      <c r="L15" s="5">
        <f>L$5*'Step 3'!H15</f>
        <v/>
      </c>
      <c r="M15" s="5">
        <f>M$5*'Step 3'!I15</f>
        <v/>
      </c>
      <c r="N15" s="5">
        <f>N$5*'Step 3'!J15</f>
        <v/>
      </c>
      <c r="O15" s="5">
        <f>O$5*'Step 3'!K15</f>
        <v/>
      </c>
      <c r="P15" s="5">
        <f>P$5*'Step 3'!L15</f>
        <v/>
      </c>
      <c r="Q15" s="5">
        <f>Q$5*'Step 3'!M15</f>
        <v/>
      </c>
      <c r="R15" s="5">
        <f>R$5*'Step 3'!N15</f>
        <v/>
      </c>
      <c r="S15" s="5">
        <f>S$5*'Step 3'!O15</f>
        <v/>
      </c>
    </row>
    <row r="16">
      <c r="B16" s="14">
        <f>B15+1</f>
        <v/>
      </c>
      <c r="C16" s="23">
        <f>'Step 3'!C16</f>
        <v/>
      </c>
      <c r="D16" s="8" t="n">
        <v>0</v>
      </c>
      <c r="E16" s="7" t="inlineStr">
        <is>
          <t>&lt;Insert Source, Linked&gt;</t>
        </is>
      </c>
      <c r="F16" s="7" t="inlineStr">
        <is>
          <t>&lt;Insert Commentary&gt;</t>
        </is>
      </c>
      <c r="H16" s="5">
        <f>H$5*'Step 3'!D16</f>
        <v/>
      </c>
      <c r="I16" s="5">
        <f>I$5*'Step 3'!E16</f>
        <v/>
      </c>
      <c r="J16" s="5">
        <f>J$5*'Step 3'!F16</f>
        <v/>
      </c>
      <c r="K16" s="5">
        <f>K$5*'Step 3'!G16</f>
        <v/>
      </c>
      <c r="L16" s="5">
        <f>L$5*'Step 3'!H16</f>
        <v/>
      </c>
      <c r="M16" s="5">
        <f>M$5*'Step 3'!I16</f>
        <v/>
      </c>
      <c r="N16" s="5">
        <f>N$5*'Step 3'!J16</f>
        <v/>
      </c>
      <c r="O16" s="5">
        <f>O$5*'Step 3'!K16</f>
        <v/>
      </c>
      <c r="P16" s="5">
        <f>P$5*'Step 3'!L16</f>
        <v/>
      </c>
      <c r="Q16" s="5">
        <f>Q$5*'Step 3'!M16</f>
        <v/>
      </c>
      <c r="R16" s="5">
        <f>R$5*'Step 3'!N16</f>
        <v/>
      </c>
      <c r="S16" s="5">
        <f>S$5*'Step 3'!O16</f>
        <v/>
      </c>
    </row>
    <row r="17">
      <c r="B17" s="14">
        <f>B16+1</f>
        <v/>
      </c>
      <c r="C17" s="23">
        <f>'Step 3'!C17</f>
        <v/>
      </c>
      <c r="D17" s="8" t="n">
        <v>0</v>
      </c>
      <c r="E17" s="7" t="inlineStr">
        <is>
          <t>&lt;Insert Source, Linked&gt;</t>
        </is>
      </c>
      <c r="F17" s="7" t="inlineStr">
        <is>
          <t>&lt;Insert Commentary&gt;</t>
        </is>
      </c>
      <c r="H17" s="5">
        <f>H$5*'Step 3'!D17</f>
        <v/>
      </c>
      <c r="I17" s="5">
        <f>I$5*'Step 3'!E17</f>
        <v/>
      </c>
      <c r="J17" s="5">
        <f>J$5*'Step 3'!F17</f>
        <v/>
      </c>
      <c r="K17" s="5">
        <f>K$5*'Step 3'!G17</f>
        <v/>
      </c>
      <c r="L17" s="5">
        <f>L$5*'Step 3'!H17</f>
        <v/>
      </c>
      <c r="M17" s="5">
        <f>M$5*'Step 3'!I17</f>
        <v/>
      </c>
      <c r="N17" s="5">
        <f>N$5*'Step 3'!J17</f>
        <v/>
      </c>
      <c r="O17" s="5">
        <f>O$5*'Step 3'!K17</f>
        <v/>
      </c>
      <c r="P17" s="5">
        <f>P$5*'Step 3'!L17</f>
        <v/>
      </c>
      <c r="Q17" s="5">
        <f>Q$5*'Step 3'!M17</f>
        <v/>
      </c>
      <c r="R17" s="5">
        <f>R$5*'Step 3'!N17</f>
        <v/>
      </c>
      <c r="S17" s="5">
        <f>S$5*'Step 3'!O17</f>
        <v/>
      </c>
    </row>
    <row r="18">
      <c r="B18" s="14">
        <f>B17+1</f>
        <v/>
      </c>
      <c r="C18" s="23">
        <f>'Step 3'!C18</f>
        <v/>
      </c>
      <c r="D18" s="8" t="n">
        <v>0</v>
      </c>
      <c r="E18" s="7" t="inlineStr">
        <is>
          <t>&lt;Insert Source, Linked&gt;</t>
        </is>
      </c>
      <c r="F18" s="7" t="inlineStr">
        <is>
          <t>&lt;Insert Commentary&gt;</t>
        </is>
      </c>
      <c r="H18" s="5">
        <f>H$5*'Step 3'!D18</f>
        <v/>
      </c>
      <c r="I18" s="5">
        <f>I$5*'Step 3'!E18</f>
        <v/>
      </c>
      <c r="J18" s="5">
        <f>J$5*'Step 3'!F18</f>
        <v/>
      </c>
      <c r="K18" s="5">
        <f>K$5*'Step 3'!G18</f>
        <v/>
      </c>
      <c r="L18" s="5">
        <f>L$5*'Step 3'!H18</f>
        <v/>
      </c>
      <c r="M18" s="5">
        <f>M$5*'Step 3'!I18</f>
        <v/>
      </c>
      <c r="N18" s="5">
        <f>N$5*'Step 3'!J18</f>
        <v/>
      </c>
      <c r="O18" s="5">
        <f>O$5*'Step 3'!K18</f>
        <v/>
      </c>
      <c r="P18" s="5">
        <f>P$5*'Step 3'!L18</f>
        <v/>
      </c>
      <c r="Q18" s="5">
        <f>Q$5*'Step 3'!M18</f>
        <v/>
      </c>
      <c r="R18" s="5">
        <f>R$5*'Step 3'!N18</f>
        <v/>
      </c>
      <c r="S18" s="5">
        <f>S$5*'Step 3'!O18</f>
        <v/>
      </c>
    </row>
    <row r="21">
      <c r="B21" s="1" t="inlineStr">
        <is>
          <t>Case Toggle</t>
        </is>
      </c>
      <c r="C21" s="1" t="inlineStr">
        <is>
          <t>Today Low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0"/>
  <sheetViews>
    <sheetView workbookViewId="0">
      <selection activeCell="G8" sqref="G8"/>
    </sheetView>
  </sheetViews>
  <sheetFormatPr baseColWidth="10" defaultColWidth="8.83203125" defaultRowHeight="15"/>
  <cols>
    <col width="8" customWidth="1" style="36" min="2" max="2"/>
    <col width="50" customWidth="1" style="36" min="3" max="3"/>
    <col width="18" customWidth="1" style="36" min="4" max="4"/>
    <col width="40" customWidth="1" style="36" min="5" max="5"/>
    <col width="60" customWidth="1" style="36" min="6" max="6"/>
    <col width="40" customWidth="1" style="36" min="7" max="7"/>
  </cols>
  <sheetData>
    <row r="2" ht="19" customHeight="1" s="36">
      <c r="B2" s="31" t="inlineStr">
        <is>
          <t>Step 6 — Regulatory Conservatism Haircut</t>
        </is>
      </c>
    </row>
    <row r="3">
      <c r="B3" s="35" t="inlineStr">
        <is>
          <t>&lt;Segment&gt;, &lt;Scope&gt;</t>
        </is>
      </c>
    </row>
    <row r="6">
      <c r="B6" s="33" t="inlineStr">
        <is>
          <t>Entry #</t>
        </is>
      </c>
      <c r="C6" s="33" t="inlineStr">
        <is>
          <t>Task</t>
        </is>
      </c>
      <c r="D6" s="33" t="inlineStr">
        <is>
          <t>Regulatory Haircut %</t>
        </is>
      </c>
      <c r="E6" s="33" t="inlineStr">
        <is>
          <t>Regulation cited</t>
        </is>
      </c>
      <c r="F6" s="33" t="inlineStr">
        <is>
          <t>Specific impact on this task</t>
        </is>
      </c>
      <c r="G6" s="33" t="inlineStr">
        <is>
          <t>Source URL</t>
        </is>
      </c>
    </row>
    <row r="7">
      <c r="B7" t="n">
        <v>1</v>
      </c>
      <c r="C7">
        <f>'Step 2'!C7</f>
        <v/>
      </c>
      <c r="D7" s="34" t="n">
        <v>0</v>
      </c>
    </row>
    <row r="8">
      <c r="B8" t="n">
        <v>2</v>
      </c>
      <c r="C8">
        <f>'Step 2'!C8</f>
        <v/>
      </c>
      <c r="D8" s="34" t="n">
        <v>0</v>
      </c>
    </row>
    <row r="9">
      <c r="B9" t="n">
        <v>3</v>
      </c>
      <c r="C9">
        <f>'Step 2'!C9</f>
        <v/>
      </c>
      <c r="D9" s="34" t="n">
        <v>0</v>
      </c>
    </row>
    <row r="10">
      <c r="B10" t="n">
        <v>4</v>
      </c>
      <c r="C10">
        <f>'Step 2'!C10</f>
        <v/>
      </c>
      <c r="D10" s="34" t="n">
        <v>0</v>
      </c>
    </row>
    <row r="11">
      <c r="B11" t="n">
        <v>5</v>
      </c>
      <c r="C11">
        <f>'Step 2'!C11</f>
        <v/>
      </c>
      <c r="D11" s="34" t="n">
        <v>0</v>
      </c>
    </row>
    <row r="12">
      <c r="B12" t="n">
        <v>6</v>
      </c>
      <c r="C12">
        <f>'Step 2'!C12</f>
        <v/>
      </c>
      <c r="D12" s="34" t="n">
        <v>0</v>
      </c>
    </row>
    <row r="13">
      <c r="B13" t="n">
        <v>7</v>
      </c>
      <c r="C13">
        <f>'Step 2'!C13</f>
        <v/>
      </c>
      <c r="D13" s="34" t="n">
        <v>0</v>
      </c>
    </row>
    <row r="14">
      <c r="B14" t="n">
        <v>8</v>
      </c>
      <c r="C14">
        <f>'Step 2'!C14</f>
        <v/>
      </c>
      <c r="D14" s="34" t="n">
        <v>0</v>
      </c>
    </row>
    <row r="15">
      <c r="B15" t="n">
        <v>9</v>
      </c>
      <c r="C15">
        <f>'Step 2'!C15</f>
        <v/>
      </c>
      <c r="D15" s="34" t="n">
        <v>0</v>
      </c>
    </row>
    <row r="16">
      <c r="B16" t="n">
        <v>10</v>
      </c>
      <c r="C16">
        <f>'Step 2'!C16</f>
        <v/>
      </c>
      <c r="D16" s="34" t="n">
        <v>0</v>
      </c>
    </row>
    <row r="17">
      <c r="B17" t="n">
        <v>11</v>
      </c>
      <c r="C17">
        <f>'Step 2'!C17</f>
        <v/>
      </c>
      <c r="D17" s="34" t="n">
        <v>0</v>
      </c>
    </row>
    <row r="18">
      <c r="B18" t="n">
        <v>12</v>
      </c>
      <c r="C18">
        <f>'Step 2'!C18</f>
        <v/>
      </c>
      <c r="D18" s="34" t="n">
        <v>0</v>
      </c>
    </row>
    <row r="20">
      <c r="B20" s="35" t="inlineStr">
        <is>
          <t>Haircut scale: 0.05–0.10 (attestation-only) | 0.10–0.20 (mandatory human review) | 0.20–0.30 (autonomous AI execution prohibited) | &gt;0.30 (rare, requires explicit justification)</t>
        </is>
      </c>
    </row>
  </sheetData>
  <mergeCells count="1">
    <mergeCell ref="B20:G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33"/>
  <sheetViews>
    <sheetView tabSelected="1" workbookViewId="0">
      <selection activeCell="E30" sqref="E30"/>
    </sheetView>
  </sheetViews>
  <sheetFormatPr baseColWidth="10" defaultColWidth="8.6640625" defaultRowHeight="11"/>
  <cols>
    <col width="2.33203125" customWidth="1" style="1" min="1" max="1"/>
    <col width="9.5" customWidth="1" style="1" min="2" max="2"/>
    <col width="21.1640625" customWidth="1" style="1" min="3" max="3"/>
    <col width="15.33203125" customWidth="1" style="1" min="4" max="4"/>
    <col width="19.6640625" customWidth="1" style="1" min="5" max="5"/>
    <col width="25.6640625" customWidth="1" style="1" min="6" max="6"/>
    <col width="1.6640625" customWidth="1" style="1" min="7" max="7"/>
    <col width="19.33203125" customWidth="1" style="1" min="8" max="8"/>
    <col width="17.6640625" customWidth="1" style="1" min="9" max="9"/>
    <col width="8.6640625" customWidth="1" style="1" min="10" max="10"/>
    <col width="8.6640625" customWidth="1" style="1" min="11" max="16384"/>
  </cols>
  <sheetData>
    <row r="2" ht="13" customHeight="1" s="36">
      <c r="B2" s="2" t="inlineStr">
        <is>
          <t>AI Diligence Artifact</t>
        </is>
      </c>
    </row>
    <row r="3">
      <c r="B3" s="7" t="inlineStr">
        <is>
          <t>&lt;Segment&gt;, &lt;Scope&gt;</t>
        </is>
      </c>
    </row>
    <row r="6" ht="14" customHeight="1" s="36">
      <c r="B6" s="3" t="inlineStr">
        <is>
          <t>Final Output</t>
        </is>
      </c>
      <c r="C6" s="13" t="inlineStr">
        <is>
          <t>Task</t>
        </is>
      </c>
      <c r="D6" s="13" t="inlineStr">
        <is>
          <t>% of Labor Today</t>
        </is>
      </c>
      <c r="E6" s="13">
        <f>_xlfn.CONCAT("% of Labor '",'Step 4 Weighted Calc'!C21, "' Case")</f>
        <v/>
      </c>
      <c r="F6" s="13">
        <f>_xlfn.CONCAT("% of Labor '",'Step 4 Weighted Calc'!C21, "' Case + Reg")</f>
        <v/>
      </c>
      <c r="H6" s="13" t="inlineStr">
        <is>
          <t>Synthesized Rationale</t>
        </is>
      </c>
      <c r="I6" s="13" t="inlineStr">
        <is>
          <t>Sources</t>
        </is>
      </c>
    </row>
    <row r="7">
      <c r="B7" s="14" t="n">
        <v>1</v>
      </c>
      <c r="C7" s="22">
        <f>'Step 2'!C7</f>
        <v/>
      </c>
      <c r="D7" s="25">
        <f>'Step 4 Weighted Calc'!D7</f>
        <v/>
      </c>
      <c r="E7" s="25">
        <f>'Step 4 Weighted Calc'!D7*SUM('Step 4 Weighted Calc'!H7:S7)</f>
        <v/>
      </c>
      <c r="F7" s="25">
        <f>((E7-D7)*(1-'Step 6 Regulatory'!D7))+'Final Output'!D7</f>
        <v/>
      </c>
      <c r="H7" s="18" t="inlineStr">
        <is>
          <t>&lt;Insert Commentary&gt;</t>
        </is>
      </c>
      <c r="I7" s="18" t="inlineStr">
        <is>
          <t>&lt;Insert Source, Linked&gt;</t>
        </is>
      </c>
    </row>
    <row r="8">
      <c r="B8" s="14" t="n">
        <v>2</v>
      </c>
      <c r="C8" s="22">
        <f>'Step 2'!C8</f>
        <v/>
      </c>
      <c r="D8" s="25">
        <f>'Step 4 Weighted Calc'!D8</f>
        <v/>
      </c>
      <c r="E8" s="25">
        <f>'Step 4 Weighted Calc'!D8*SUM('Step 4 Weighted Calc'!H8:S8)</f>
        <v/>
      </c>
      <c r="F8" s="25">
        <f>((E8-D8)*(1-'Step 6 Regulatory'!D8))+'Final Output'!D8</f>
        <v/>
      </c>
      <c r="H8" s="18" t="inlineStr">
        <is>
          <t>&lt;Insert Commentary&gt;</t>
        </is>
      </c>
      <c r="I8" s="18" t="inlineStr">
        <is>
          <t>&lt;Insert Source, Linked&gt;</t>
        </is>
      </c>
    </row>
    <row r="9">
      <c r="B9" s="14" t="n">
        <v>3</v>
      </c>
      <c r="C9" s="22">
        <f>'Step 2'!C9</f>
        <v/>
      </c>
      <c r="D9" s="25">
        <f>'Step 4 Weighted Calc'!D9</f>
        <v/>
      </c>
      <c r="E9" s="25">
        <f>'Step 4 Weighted Calc'!D9*SUM('Step 4 Weighted Calc'!H9:S9)</f>
        <v/>
      </c>
      <c r="F9" s="25">
        <f>((E9-D9)*(1-'Step 6 Regulatory'!D9))+'Final Output'!D9</f>
        <v/>
      </c>
      <c r="H9" s="18" t="inlineStr">
        <is>
          <t>&lt;Insert Commentary&gt;</t>
        </is>
      </c>
      <c r="I9" s="18" t="inlineStr">
        <is>
          <t>&lt;Insert Source, Linked&gt;</t>
        </is>
      </c>
    </row>
    <row r="10">
      <c r="B10" s="14">
        <f>B9+1</f>
        <v/>
      </c>
      <c r="C10" s="22">
        <f>'Step 2'!C10</f>
        <v/>
      </c>
      <c r="D10" s="25">
        <f>'Step 4 Weighted Calc'!D10</f>
        <v/>
      </c>
      <c r="E10" s="25">
        <f>'Step 4 Weighted Calc'!D10*SUM('Step 4 Weighted Calc'!H10:S10)</f>
        <v/>
      </c>
      <c r="F10" s="25">
        <f>((E10-D10)*(1-'Step 6 Regulatory'!D10))+'Final Output'!D10</f>
        <v/>
      </c>
      <c r="H10" s="18" t="inlineStr">
        <is>
          <t>&lt;Insert Commentary&gt;</t>
        </is>
      </c>
      <c r="I10" s="18" t="inlineStr">
        <is>
          <t>&lt;Insert Source, Linked&gt;</t>
        </is>
      </c>
    </row>
    <row r="11">
      <c r="B11" s="14">
        <f>B10+1</f>
        <v/>
      </c>
      <c r="C11" s="22">
        <f>'Step 2'!C11</f>
        <v/>
      </c>
      <c r="D11" s="25">
        <f>'Step 4 Weighted Calc'!D11</f>
        <v/>
      </c>
      <c r="E11" s="25">
        <f>'Step 4 Weighted Calc'!D11*SUM('Step 4 Weighted Calc'!H11:S11)</f>
        <v/>
      </c>
      <c r="F11" s="25">
        <f>((E11-D11)*(1-'Step 6 Regulatory'!D11))+'Final Output'!D11</f>
        <v/>
      </c>
      <c r="H11" s="18" t="inlineStr">
        <is>
          <t>&lt;Insert Commentary&gt;</t>
        </is>
      </c>
      <c r="I11" s="18" t="inlineStr">
        <is>
          <t>&lt;Insert Source, Linked&gt;</t>
        </is>
      </c>
    </row>
    <row r="12">
      <c r="B12" s="14">
        <f>B11+1</f>
        <v/>
      </c>
      <c r="C12" s="22">
        <f>'Step 2'!C12</f>
        <v/>
      </c>
      <c r="D12" s="25">
        <f>'Step 4 Weighted Calc'!D12</f>
        <v/>
      </c>
      <c r="E12" s="25">
        <f>'Step 4 Weighted Calc'!D12*SUM('Step 4 Weighted Calc'!H12:S12)</f>
        <v/>
      </c>
      <c r="F12" s="25">
        <f>((E12-D12)*(1-'Step 6 Regulatory'!D12))+'Final Output'!D12</f>
        <v/>
      </c>
      <c r="H12" s="18" t="inlineStr">
        <is>
          <t>&lt;Insert Commentary&gt;</t>
        </is>
      </c>
      <c r="I12" s="18" t="inlineStr">
        <is>
          <t>&lt;Insert Source, Linked&gt;</t>
        </is>
      </c>
    </row>
    <row r="13">
      <c r="B13" s="14">
        <f>B12+1</f>
        <v/>
      </c>
      <c r="C13" s="22">
        <f>'Step 2'!C13</f>
        <v/>
      </c>
      <c r="D13" s="25">
        <f>'Step 4 Weighted Calc'!D13</f>
        <v/>
      </c>
      <c r="E13" s="25">
        <f>'Step 4 Weighted Calc'!D13*SUM('Step 4 Weighted Calc'!H13:S13)</f>
        <v/>
      </c>
      <c r="F13" s="25">
        <f>((E13-D13)*(1-'Step 6 Regulatory'!D13))+'Final Output'!D13</f>
        <v/>
      </c>
      <c r="H13" s="18" t="inlineStr">
        <is>
          <t>&lt;Insert Commentary&gt;</t>
        </is>
      </c>
      <c r="I13" s="18" t="inlineStr">
        <is>
          <t>&lt;Insert Source, Linked&gt;</t>
        </is>
      </c>
    </row>
    <row r="14">
      <c r="B14" s="14">
        <f>B13+1</f>
        <v/>
      </c>
      <c r="C14" s="22">
        <f>'Step 2'!C14</f>
        <v/>
      </c>
      <c r="D14" s="25">
        <f>'Step 4 Weighted Calc'!D14</f>
        <v/>
      </c>
      <c r="E14" s="25">
        <f>'Step 4 Weighted Calc'!D14*SUM('Step 4 Weighted Calc'!H14:S14)</f>
        <v/>
      </c>
      <c r="F14" s="25">
        <f>((E14-D14)*(1-'Step 6 Regulatory'!D14))+'Final Output'!D14</f>
        <v/>
      </c>
      <c r="H14" s="18" t="inlineStr">
        <is>
          <t>&lt;Insert Commentary&gt;</t>
        </is>
      </c>
      <c r="I14" s="18" t="inlineStr">
        <is>
          <t>&lt;Insert Source, Linked&gt;</t>
        </is>
      </c>
    </row>
    <row r="15">
      <c r="B15" s="14">
        <f>B14+1</f>
        <v/>
      </c>
      <c r="C15" s="22">
        <f>'Step 2'!C15</f>
        <v/>
      </c>
      <c r="D15" s="25">
        <f>'Step 4 Weighted Calc'!D15</f>
        <v/>
      </c>
      <c r="E15" s="25">
        <f>'Step 4 Weighted Calc'!D15*SUM('Step 4 Weighted Calc'!H15:S15)</f>
        <v/>
      </c>
      <c r="F15" s="25">
        <f>((E15-D15)*(1-'Step 6 Regulatory'!D15))+'Final Output'!D15</f>
        <v/>
      </c>
      <c r="H15" s="18" t="inlineStr">
        <is>
          <t>&lt;Insert Commentary&gt;</t>
        </is>
      </c>
      <c r="I15" s="18" t="inlineStr">
        <is>
          <t>&lt;Insert Source, Linked&gt;</t>
        </is>
      </c>
    </row>
    <row r="16">
      <c r="B16" s="14">
        <f>B15+1</f>
        <v/>
      </c>
      <c r="C16" s="22">
        <f>'Step 2'!C16</f>
        <v/>
      </c>
      <c r="D16" s="25">
        <f>'Step 4 Weighted Calc'!D16</f>
        <v/>
      </c>
      <c r="E16" s="25">
        <f>'Step 4 Weighted Calc'!D16*SUM('Step 4 Weighted Calc'!H16:S16)</f>
        <v/>
      </c>
      <c r="F16" s="25">
        <f>((E16-D16)*(1-'Step 6 Regulatory'!D16))+'Final Output'!D16</f>
        <v/>
      </c>
      <c r="H16" s="18" t="inlineStr">
        <is>
          <t>&lt;Insert Commentary&gt;</t>
        </is>
      </c>
      <c r="I16" s="18" t="inlineStr">
        <is>
          <t>&lt;Insert Source, Linked&gt;</t>
        </is>
      </c>
    </row>
    <row r="17">
      <c r="B17" s="14">
        <f>B16+1</f>
        <v/>
      </c>
      <c r="C17" s="22">
        <f>'Step 2'!C17</f>
        <v/>
      </c>
      <c r="D17" s="25">
        <f>'Step 4 Weighted Calc'!D17</f>
        <v/>
      </c>
      <c r="E17" s="25">
        <f>'Step 4 Weighted Calc'!D17*SUM('Step 4 Weighted Calc'!H17:S17)</f>
        <v/>
      </c>
      <c r="F17" s="25">
        <f>((E17-D17)*(1-'Step 6 Regulatory'!D17))+'Final Output'!D17</f>
        <v/>
      </c>
      <c r="H17" s="18" t="inlineStr">
        <is>
          <t>&lt;Insert Commentary&gt;</t>
        </is>
      </c>
      <c r="I17" s="18" t="inlineStr">
        <is>
          <t>&lt;Insert Source, Linked&gt;</t>
        </is>
      </c>
    </row>
    <row r="18">
      <c r="B18" s="14">
        <f>B17+1</f>
        <v/>
      </c>
      <c r="C18" s="22">
        <f>'Step 2'!C18</f>
        <v/>
      </c>
      <c r="D18" s="25">
        <f>'Step 4 Weighted Calc'!D18</f>
        <v/>
      </c>
      <c r="E18" s="25">
        <f>'Step 4 Weighted Calc'!D18*SUM('Step 4 Weighted Calc'!H18:S18)</f>
        <v/>
      </c>
      <c r="F18" s="25">
        <f>((E18-D18)*(1-'Step 6 Regulatory'!D18))+'Final Output'!D18</f>
        <v/>
      </c>
      <c r="H18" s="18" t="inlineStr">
        <is>
          <t>&lt;Insert Commentary&gt;</t>
        </is>
      </c>
      <c r="I18" s="18" t="inlineStr">
        <is>
          <t>&lt;Insert Source, Linked&gt;</t>
        </is>
      </c>
    </row>
    <row r="24" ht="14" customHeight="1" s="36">
      <c r="B24" s="3" t="inlineStr">
        <is>
          <t>FTE Hours</t>
        </is>
      </c>
      <c r="C24" s="4" t="inlineStr">
        <is>
          <t>Case</t>
        </is>
      </c>
      <c r="D24" s="4" t="inlineStr">
        <is>
          <t>Hours</t>
        </is>
      </c>
    </row>
    <row r="25">
      <c r="C25" s="3" t="inlineStr">
        <is>
          <t>Today</t>
        </is>
      </c>
      <c r="D25" s="26" t="n">
        <v>100</v>
      </c>
    </row>
    <row r="26">
      <c r="C26" s="3">
        <f>'Step 4 Weighted Calc'!$C$21</f>
        <v/>
      </c>
      <c r="D26" s="27">
        <f>SUM(E7:E21)*D25</f>
        <v/>
      </c>
    </row>
    <row r="27">
      <c r="C27" s="11" t="inlineStr">
        <is>
          <t>Hours Automated Away</t>
        </is>
      </c>
      <c r="D27" s="28">
        <f>D25-D26</f>
        <v/>
      </c>
    </row>
    <row r="28" ht="15" customHeight="1" s="36">
      <c r="C28" s="29" t="n"/>
      <c r="D28" s="30" t="n"/>
    </row>
    <row r="29" ht="14" customHeight="1" s="36">
      <c r="B29" s="3" t="inlineStr">
        <is>
          <t>FTE Hours</t>
        </is>
      </c>
      <c r="C29" s="4" t="inlineStr">
        <is>
          <t>Case</t>
        </is>
      </c>
      <c r="D29" s="4" t="inlineStr">
        <is>
          <t>Hours</t>
        </is>
      </c>
    </row>
    <row r="30">
      <c r="C30" s="3" t="inlineStr">
        <is>
          <t>Today</t>
        </is>
      </c>
      <c r="D30" s="26" t="n">
        <v>100</v>
      </c>
    </row>
    <row r="31">
      <c r="C31" s="37">
        <f>'Step 4 Weighted Calc'!$C$21</f>
        <v/>
      </c>
      <c r="D31" s="38">
        <f>SUM(F7:F21)*D30</f>
        <v/>
      </c>
    </row>
    <row r="32">
      <c r="C32" s="39" t="inlineStr">
        <is>
          <t>Hours Automated Away (Reg-Adjusted)</t>
        </is>
      </c>
      <c r="D32" s="40">
        <f>D30-D31</f>
        <v/>
      </c>
    </row>
    <row r="33">
      <c r="C33" t="inlineStr">
        <is>
          <t>Avg Haircut Applied</t>
        </is>
      </c>
      <c r="D33" s="34">
        <f>IFERROR((D27-D32)/D27, 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B2" sqref="B2:G13"/>
    </sheetView>
  </sheetViews>
  <sheetFormatPr baseColWidth="10" defaultColWidth="8.83203125" defaultRowHeight="15"/>
  <sheetData>
    <row r="1">
      <c r="A1" s="19" t="inlineStr">
        <is>
          <t>Atom</t>
        </is>
      </c>
      <c r="B1" s="19" t="inlineStr">
        <is>
          <t>Today Low</t>
        </is>
      </c>
      <c r="C1" s="19" t="inlineStr">
        <is>
          <t>Today High</t>
        </is>
      </c>
      <c r="D1" s="19" t="inlineStr">
        <is>
          <t>2–3y Low</t>
        </is>
      </c>
      <c r="E1" s="19" t="inlineStr">
        <is>
          <t>2–3y High</t>
        </is>
      </c>
      <c r="F1" s="19" t="inlineStr">
        <is>
          <t>5–10y Low</t>
        </is>
      </c>
      <c r="G1" s="19" t="inlineStr">
        <is>
          <t>5–10y High</t>
        </is>
      </c>
      <c r="H1" s="19" t="inlineStr">
        <is>
          <t>Confidence</t>
        </is>
      </c>
      <c r="I1" s="19" t="inlineStr">
        <is>
          <t>Key technical dependencies</t>
        </is>
      </c>
      <c r="J1" s="19" t="inlineStr">
        <is>
          <t>Primary evidence anchors</t>
        </is>
      </c>
      <c r="K1" s="19" t="inlineStr">
        <is>
          <t>Material modifiers</t>
        </is>
      </c>
    </row>
    <row r="2">
      <c r="A2" t="inlineStr">
        <is>
          <t>Information discovery &amp; retrieval</t>
        </is>
      </c>
      <c r="B2" t="n">
        <v>0.4</v>
      </c>
      <c r="C2" t="n">
        <v>0.65</v>
      </c>
      <c r="D2" t="n">
        <v>0.6</v>
      </c>
      <c r="E2" t="n">
        <v>0.85</v>
      </c>
      <c r="F2" t="n">
        <v>0.75</v>
      </c>
      <c r="G2" t="n">
        <v>0.95</v>
      </c>
      <c r="H2" t="inlineStr">
        <is>
          <t>High — stable boundary and multiple structural anchors.</t>
        </is>
      </c>
      <c r="I2" t="inlineStr">
        <is>
          <t>Permissions-aware retrieval; search quality; tool calling; context-window and retrieval fidelity.</t>
        </is>
      </c>
      <c r="J2" t="inlineStr">
        <is>
          <t>O*NET 30.2; GPTs are GPTs; Tomlinson et al.; Anthropic EI.</t>
        </is>
      </c>
      <c r="K2" t="inlineStr">
        <is>
          <t>Indexed digital knowledge stores and API-rich environments push up (+5 to +15pp); siloed or offline information estates push down (−10 to −20pp).</t>
        </is>
      </c>
    </row>
    <row r="3">
      <c r="A3" t="inlineStr">
        <is>
          <t>Extraction &amp; structuring</t>
        </is>
      </c>
      <c r="B3" t="n">
        <v>0.45</v>
      </c>
      <c r="C3" t="n">
        <v>0.75</v>
      </c>
      <c r="D3" t="n">
        <v>0.65</v>
      </c>
      <c r="E3" t="n">
        <v>0.9</v>
      </c>
      <c r="F3" t="n">
        <v>0.8</v>
      </c>
      <c r="G3" t="n">
        <v>0.97</v>
      </c>
      <c r="H3" t="inlineStr">
        <is>
          <t>High — atom is clean and multimodal capability is advancing quickly.</t>
        </is>
      </c>
      <c r="I3" t="inlineStr">
        <is>
          <t>Multimodal parsing robustness; schema stability; automated validation checks.</t>
        </is>
      </c>
      <c r="J3" t="inlineStr">
        <is>
          <t>O*NET 30.2; MGI 2017; Anthropic EI; Noy &amp; Zhang.</t>
        </is>
      </c>
      <c r="K3" t="inlineStr">
        <is>
          <t>Standardized, high-volume forms push up (+10 to +20pp); messy visuals push down (−10 to −15pp).</t>
        </is>
      </c>
    </row>
    <row r="4">
      <c r="A4" t="inlineStr">
        <is>
          <t>Normalization, reconciliation &amp; integration</t>
        </is>
      </c>
      <c r="B4" t="n">
        <v>0.25</v>
      </c>
      <c r="C4" t="n">
        <v>0.55</v>
      </c>
      <c r="D4" t="n">
        <v>0.45</v>
      </c>
      <c r="E4" t="n">
        <v>0.75</v>
      </c>
      <c r="F4" t="n">
        <v>0.6</v>
      </c>
      <c r="G4" t="n">
        <v>0.9</v>
      </c>
      <c r="H4" t="inlineStr">
        <is>
          <t>Medium — strong structural logic, but integration heterogeneity remains large.</t>
        </is>
      </c>
      <c r="I4" t="inlineStr">
        <is>
          <t>Entity resolution; safe write-back; API surface; deterministic checks.</t>
        </is>
      </c>
      <c r="J4" t="inlineStr">
        <is>
          <t>GPTs are GPTs; O*NET 30.2; MGI 2017.</t>
        </is>
      </c>
      <c r="K4" t="inlineStr">
        <is>
          <t>Modern API-first systems push up (+10 to +15pp); fragmented legacy cores push down (−15 to −25pp).</t>
        </is>
      </c>
    </row>
    <row r="5">
      <c r="A5" t="inlineStr">
        <is>
          <t>Deterministic execution &amp; transaction processing</t>
        </is>
      </c>
      <c r="B5" t="n">
        <v>0.4</v>
      </c>
      <c r="C5" t="n">
        <v>0.7</v>
      </c>
      <c r="D5" t="n">
        <v>0.55</v>
      </c>
      <c r="E5" t="n">
        <v>0.85</v>
      </c>
      <c r="F5" t="n">
        <v>0.75</v>
      </c>
      <c r="G5" t="n">
        <v>0.95</v>
      </c>
      <c r="H5" t="inlineStr">
        <is>
          <t>High — direct productivity evidence plus strong structural logic.</t>
        </is>
      </c>
      <c r="I5" t="inlineStr">
        <is>
          <t>Test harnesses; policy-as-code; secure execution; rollback.</t>
        </is>
      </c>
      <c r="J5" t="inlineStr">
        <is>
          <t>Peng et al.; SWE-bench; METR RCT.</t>
        </is>
      </c>
      <c r="K5" t="inlineStr">
        <is>
          <t>Highly testable workflows push up (+10 to +15pp); safety-critical pushes down (−10 to −20pp).</t>
        </is>
      </c>
    </row>
    <row r="6">
      <c r="A6" t="inlineStr">
        <is>
          <t>Structured triage &amp; decision support</t>
        </is>
      </c>
      <c r="B6" t="n">
        <v>0.4</v>
      </c>
      <c r="C6" t="n">
        <v>0.7</v>
      </c>
      <c r="D6" t="n">
        <v>0.55</v>
      </c>
      <c r="E6" t="n">
        <v>0.85</v>
      </c>
      <c r="F6" t="n">
        <v>0.7</v>
      </c>
      <c r="G6" t="n">
        <v>0.95</v>
      </c>
      <c r="H6" t="inlineStr">
        <is>
          <t>Medium — split is conceptually strong but varies by domain.</t>
        </is>
      </c>
      <c r="I6" t="inlineStr">
        <is>
          <t>Explicit criteria; bounded exception space; routing.</t>
        </is>
      </c>
      <c r="J6" t="inlineStr">
        <is>
          <t>Dell’Acqua et al.; MGI 2017.</t>
        </is>
      </c>
      <c r="K6" t="inlineStr">
        <is>
          <t>Formal protocols push up (+10 to +15pp); wide exceptions push down (−10 to −20pp).</t>
        </is>
      </c>
    </row>
    <row r="7">
      <c r="A7" t="inlineStr">
        <is>
          <t>Authority-bearing judgment &amp; decisioning</t>
        </is>
      </c>
      <c r="B7" t="n">
        <v>0.1</v>
      </c>
      <c r="C7" t="n">
        <v>0.25</v>
      </c>
      <c r="D7" t="n">
        <v>0.2</v>
      </c>
      <c r="E7" t="n">
        <v>0.45</v>
      </c>
      <c r="F7" t="n">
        <v>0.35</v>
      </c>
      <c r="G7" t="n">
        <v>0.65</v>
      </c>
      <c r="H7" t="inlineStr">
        <is>
          <t>Low — few direct anchors and wide uncertainty.</t>
        </is>
      </c>
      <c r="I7" t="inlineStr">
        <is>
          <t>Reasoning under ambiguity; calibrated confidence.</t>
        </is>
      </c>
      <c r="J7" t="inlineStr">
        <is>
          <t>NIST AI RMF; WEF.</t>
        </is>
      </c>
      <c r="K7" t="inlineStr">
        <is>
          <t>Data-rich domains move up (+5 to +15pp); clinical/legal push down (−10 to −20pp).</t>
        </is>
      </c>
    </row>
    <row r="8">
      <c r="A8" t="inlineStr">
        <is>
          <t>Drafting, synthesis &amp; artifact assembly</t>
        </is>
      </c>
      <c r="B8" t="n">
        <v>0.4</v>
      </c>
      <c r="C8" t="n">
        <v>0.7</v>
      </c>
      <c r="D8" t="n">
        <v>0.6</v>
      </c>
      <c r="E8" t="n">
        <v>0.85</v>
      </c>
      <c r="F8" t="n">
        <v>0.75</v>
      </c>
      <c r="G8" t="n">
        <v>0.95</v>
      </c>
      <c r="H8" t="inlineStr">
        <is>
          <t>High — strongest direct empirical evidence base among knowledge-work atoms.</t>
        </is>
      </c>
      <c r="I8" t="inlineStr">
        <is>
          <t>Grounded generation; source retrieval; citation support; formatting and publishing automation.</t>
        </is>
      </c>
      <c r="J8" t="inlineStr">
        <is>
          <t>Noy &amp; Zhang; Dell’Acqua et al.; GPTs are GPTs; Tomlinson et al.; Anthropic EI.</t>
        </is>
      </c>
      <c r="K8" t="inlineStr">
        <is>
          <t>Templated outputs push up (+10 to +15pp); originality-heavy work pushes down (−10 to −15pp).</t>
        </is>
      </c>
    </row>
    <row r="9">
      <c r="A9" t="inlineStr">
        <is>
          <t>Stakeholder interaction &amp; influence</t>
        </is>
      </c>
      <c r="B9" t="n">
        <v>0.1</v>
      </c>
      <c r="C9" t="n">
        <v>0.45</v>
      </c>
      <c r="D9" t="n">
        <v>0.2</v>
      </c>
      <c r="E9" t="n">
        <v>0.6</v>
      </c>
      <c r="F9" t="n">
        <v>0.35</v>
      </c>
      <c r="G9" t="n">
        <v>0.8</v>
      </c>
      <c r="H9" t="inlineStr">
        <is>
          <t>Low-medium — live human variability remains hard to model.</t>
        </is>
      </c>
      <c r="I9" t="inlineStr">
        <is>
          <t>Dialogue robustness; speech and multimodal grounding; real-time tool access.</t>
        </is>
      </c>
      <c r="J9" t="inlineStr">
        <is>
          <t>Brynjolfsson et al.; MGI 2017; Tomlinson et al.; Anthropic EI.</t>
        </is>
      </c>
      <c r="K9" t="inlineStr">
        <is>
          <t>Internal async scripted interaction pushes up (+10 to +20pp); negotiation-heavy pushes down (−10 to −25pp).</t>
        </is>
      </c>
    </row>
    <row r="10">
      <c r="A10" t="inlineStr">
        <is>
          <t>Workflow orchestration &amp; exception resolution</t>
        </is>
      </c>
      <c r="B10" t="n">
        <v>0.15</v>
      </c>
      <c r="C10" t="n">
        <v>0.4</v>
      </c>
      <c r="D10" t="n">
        <v>0.35</v>
      </c>
      <c r="E10" t="n">
        <v>0.65</v>
      </c>
      <c r="F10" t="n">
        <v>0.55</v>
      </c>
      <c r="G10" t="n">
        <v>0.85</v>
      </c>
      <c r="H10" t="inlineStr">
        <is>
          <t>Low — most dependent on benchmark-to-workflow transfer.</t>
        </is>
      </c>
      <c r="I10" t="inlineStr">
        <is>
          <t>Long-horizon autonomy; state tracking; recovery; safe handoffs.</t>
        </is>
      </c>
      <c r="J10" t="inlineStr">
        <is>
          <t>METR; OSWorld/WebArena/SWE-bench; GPTs are GPTs.</t>
        </is>
      </c>
      <c r="K10" t="inlineStr">
        <is>
          <t>Closed environments push up (+10 to +15pp); offline steps push down (−10 to −20pp).</t>
        </is>
      </c>
    </row>
    <row r="11">
      <c r="A11" t="inlineStr">
        <is>
          <t>Assurance, compliance &amp; traceability</t>
        </is>
      </c>
      <c r="B11" t="n">
        <v>0.2</v>
      </c>
      <c r="C11" t="n">
        <v>0.45</v>
      </c>
      <c r="D11" t="n">
        <v>0.3</v>
      </c>
      <c r="E11" t="n">
        <v>0.6</v>
      </c>
      <c r="F11" t="n">
        <v>0.45</v>
      </c>
      <c r="G11" t="n">
        <v>0.75</v>
      </c>
      <c r="H11" t="inlineStr">
        <is>
          <t>Low-medium — assurance residue is real and heterogeneous.</t>
        </is>
      </c>
      <c r="I11" t="inlineStr">
        <is>
          <t>Evaluation coverage; monitoring; provenance; audit logging.</t>
        </is>
      </c>
      <c r="J11" t="inlineStr">
        <is>
          <t>NIST AI RMF; GPTs are GPTs; Anthropic EI.</t>
        </is>
      </c>
      <c r="K11" t="inlineStr">
        <is>
          <t>Codified controls push up (+10 to +15pp); ambiguous standards push down (−10 to −20pp).</t>
        </is>
      </c>
    </row>
    <row r="12">
      <c r="A12" t="inlineStr">
        <is>
          <t>Physical execution — structured/predictable</t>
        </is>
      </c>
      <c r="B12" t="n">
        <v>0.45</v>
      </c>
      <c r="C12" t="n">
        <v>0.75</v>
      </c>
      <c r="D12" t="n">
        <v>0.6</v>
      </c>
      <c r="E12" t="n">
        <v>0.85</v>
      </c>
      <c r="F12" t="n">
        <v>0.75</v>
      </c>
      <c r="G12" t="n">
        <v>0.95</v>
      </c>
      <c r="H12" t="inlineStr">
        <is>
          <t>Medium — strong historical anchor but uneven embodiment.</t>
        </is>
      </c>
      <c r="I12" t="inlineStr">
        <is>
          <t>Perception in controlled settings; motion planning; safety engineering.</t>
        </is>
      </c>
      <c r="J12" t="inlineStr">
        <is>
          <t>MGI 2017; IFR; ORS.</t>
        </is>
      </c>
      <c r="K12" t="inlineStr">
        <is>
          <t>Factories push up (+10 to +15pp); irregular tasks push down (−10 to −15pp).</t>
        </is>
      </c>
    </row>
    <row r="13">
      <c r="A13" t="inlineStr">
        <is>
          <t>Physical execution — variable/unstructured</t>
        </is>
      </c>
      <c r="B13" t="n">
        <v>0.05</v>
      </c>
      <c r="C13" t="n">
        <v>0.15</v>
      </c>
      <c r="D13" t="n">
        <v>0.1</v>
      </c>
      <c r="E13" t="n">
        <v>0.25</v>
      </c>
      <c r="F13" t="n">
        <v>0.2</v>
      </c>
      <c r="G13" t="n">
        <v>0.45</v>
      </c>
      <c r="H13" t="inlineStr">
        <is>
          <t>Low — weakest evidence and hardest frontier.</t>
        </is>
      </c>
      <c r="I13" t="inlineStr">
        <is>
          <t>Dexterity; perception under novelty; navigation; safe human interaction.</t>
        </is>
      </c>
      <c r="J13" t="inlineStr">
        <is>
          <t>MGI 2017; ORS; robotics benchmarks.</t>
        </is>
      </c>
      <c r="K13" t="inlineStr">
        <is>
          <t>Semi-structured environments move up (+5 to +10pp); variability pushes down (−10 to −15pp).</t>
        </is>
      </c>
    </row>
    <row r="15">
      <c r="B15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Vikram Mahendru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2026-05-05T17:38:24Z</dcterms:modified>
  <cp:lastModifiedBy>Vikram Mahendru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0x010100643A18D3E9F31A45B94966FE4E00F6DE</vt:lpwstr>
  </property>
</Properties>
</file>