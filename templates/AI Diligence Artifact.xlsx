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10714"/>
  <workbookPr/>
  <mc:AlternateContent xmlns:mc="http://schemas.openxmlformats.org/markup-compatibility/2006">
    <mc:Choice Requires="x15">
      <x15ac:absPath xmlns:x15ac="http://schemas.microsoft.com/office/spreadsheetml/2010/11/ac" url="/Users/projects/Documents/ai-labor-risk-gp/templates/"/>
    </mc:Choice>
  </mc:AlternateContent>
  <xr:revisionPtr revIDLastSave="0" documentId="13_ncr:1_{04CFE304-223F-1A40-9C38-62145E76B78E}" xr6:coauthVersionLast="47" xr6:coauthVersionMax="47" xr10:uidLastSave="{00000000-0000-0000-0000-000000000000}"/>
  <bookViews>
    <workbookView xWindow="0" yWindow="760" windowWidth="30180" windowHeight="17300" activeTab="5" xr2:uid="{00000000-000D-0000-FFFF-FFFF00000000}"/>
  </bookViews>
  <sheets>
    <sheet name="Step 1" sheetId="1" r:id="rId1"/>
    <sheet name="Step 2" sheetId="2" r:id="rId2"/>
    <sheet name="Step 3" sheetId="3" r:id="rId3"/>
    <sheet name="Appendix A" sheetId="4" r:id="rId4"/>
    <sheet name="Step 4 Weighted Calc" sheetId="7" r:id="rId5"/>
    <sheet name="Final Output" sheetId="8" r:id="rId6"/>
    <sheet name="System Supports Don't Touch &gt;" sheetId="5" r:id="rId7"/>
    <sheet name="Sheet5" sheetId="6" r:id="rId8"/>
  </sheets>
  <calcPr calcId="191029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18" i="8" l="1"/>
  <c r="C18" i="8"/>
  <c r="D18" i="8"/>
  <c r="E18" i="8"/>
  <c r="D26" i="8" s="1"/>
  <c r="D27" i="8" s="1"/>
  <c r="B18" i="7"/>
  <c r="C18" i="7"/>
  <c r="H18" i="7"/>
  <c r="I18" i="7"/>
  <c r="J18" i="7"/>
  <c r="K18" i="7"/>
  <c r="L18" i="7"/>
  <c r="M18" i="7"/>
  <c r="N18" i="7"/>
  <c r="O18" i="7"/>
  <c r="P18" i="7"/>
  <c r="Q18" i="7"/>
  <c r="R18" i="7"/>
  <c r="S18" i="7"/>
  <c r="C18" i="3"/>
  <c r="P18" i="3"/>
  <c r="B18" i="2"/>
  <c r="C26" i="8"/>
  <c r="E8" i="8"/>
  <c r="E9" i="8"/>
  <c r="E10" i="8"/>
  <c r="E11" i="8"/>
  <c r="E12" i="8"/>
  <c r="E13" i="8"/>
  <c r="E14" i="8"/>
  <c r="E15" i="8"/>
  <c r="E16" i="8"/>
  <c r="E17" i="8"/>
  <c r="E7" i="8"/>
  <c r="I5" i="7"/>
  <c r="I11" i="7" s="1"/>
  <c r="J5" i="7"/>
  <c r="J8" i="7" s="1"/>
  <c r="K5" i="7"/>
  <c r="K10" i="7" s="1"/>
  <c r="L5" i="7"/>
  <c r="L15" i="7" s="1"/>
  <c r="M5" i="7"/>
  <c r="M12" i="7" s="1"/>
  <c r="N5" i="7"/>
  <c r="N12" i="7" s="1"/>
  <c r="O5" i="7"/>
  <c r="P5" i="7"/>
  <c r="P14" i="7" s="1"/>
  <c r="Q5" i="7"/>
  <c r="Q11" i="7" s="1"/>
  <c r="R5" i="7"/>
  <c r="R8" i="7" s="1"/>
  <c r="S5" i="7"/>
  <c r="S13" i="7" s="1"/>
  <c r="H5" i="7"/>
  <c r="H9" i="7" s="1"/>
  <c r="E6" i="8"/>
  <c r="D8" i="8"/>
  <c r="D9" i="8"/>
  <c r="D10" i="8"/>
  <c r="D11" i="8"/>
  <c r="D12" i="8"/>
  <c r="D13" i="8"/>
  <c r="D14" i="8"/>
  <c r="D15" i="8"/>
  <c r="D16" i="8"/>
  <c r="D17" i="8"/>
  <c r="D7" i="8"/>
  <c r="C8" i="8"/>
  <c r="C9" i="8"/>
  <c r="C10" i="8"/>
  <c r="C11" i="8"/>
  <c r="C12" i="8"/>
  <c r="C13" i="8"/>
  <c r="C14" i="8"/>
  <c r="C15" i="8"/>
  <c r="C16" i="8"/>
  <c r="C17" i="8"/>
  <c r="C7" i="8"/>
  <c r="B10" i="8"/>
  <c r="B11" i="8"/>
  <c r="B12" i="8" s="1"/>
  <c r="B13" i="8" s="1"/>
  <c r="B14" i="8" s="1"/>
  <c r="B15" i="8" s="1"/>
  <c r="B16" i="8" s="1"/>
  <c r="B17" i="8" s="1"/>
  <c r="I8" i="7"/>
  <c r="O8" i="7"/>
  <c r="P8" i="7"/>
  <c r="Q8" i="7"/>
  <c r="I9" i="7"/>
  <c r="J9" i="7"/>
  <c r="N9" i="7"/>
  <c r="O9" i="7"/>
  <c r="P9" i="7"/>
  <c r="Q9" i="7"/>
  <c r="R9" i="7"/>
  <c r="S9" i="7"/>
  <c r="I10" i="7"/>
  <c r="J10" i="7"/>
  <c r="O10" i="7"/>
  <c r="P10" i="7"/>
  <c r="Q10" i="7"/>
  <c r="R10" i="7"/>
  <c r="S10" i="7"/>
  <c r="O11" i="7"/>
  <c r="P11" i="7"/>
  <c r="I12" i="7"/>
  <c r="J12" i="7"/>
  <c r="O12" i="7"/>
  <c r="P12" i="7"/>
  <c r="Q12" i="7"/>
  <c r="R12" i="7"/>
  <c r="S12" i="7"/>
  <c r="I13" i="7"/>
  <c r="J13" i="7"/>
  <c r="O13" i="7"/>
  <c r="P13" i="7"/>
  <c r="Q13" i="7"/>
  <c r="R13" i="7"/>
  <c r="N14" i="7"/>
  <c r="O14" i="7"/>
  <c r="I15" i="7"/>
  <c r="J15" i="7"/>
  <c r="O15" i="7"/>
  <c r="P15" i="7"/>
  <c r="Q15" i="7"/>
  <c r="R15" i="7"/>
  <c r="S15" i="7"/>
  <c r="I16" i="7"/>
  <c r="O16" i="7"/>
  <c r="P16" i="7"/>
  <c r="Q16" i="7"/>
  <c r="I17" i="7"/>
  <c r="J17" i="7"/>
  <c r="N17" i="7"/>
  <c r="O17" i="7"/>
  <c r="P17" i="7"/>
  <c r="Q17" i="7"/>
  <c r="R17" i="7"/>
  <c r="S17" i="7"/>
  <c r="I7" i="7"/>
  <c r="J7" i="7"/>
  <c r="O7" i="7"/>
  <c r="P7" i="7"/>
  <c r="Q7" i="7"/>
  <c r="R7" i="7"/>
  <c r="S7" i="7"/>
  <c r="I6" i="7"/>
  <c r="J6" i="7"/>
  <c r="K6" i="7"/>
  <c r="L6" i="7"/>
  <c r="M6" i="7"/>
  <c r="N6" i="7"/>
  <c r="O6" i="7"/>
  <c r="P6" i="7"/>
  <c r="Q6" i="7"/>
  <c r="R6" i="7"/>
  <c r="S6" i="7"/>
  <c r="H6" i="7"/>
  <c r="C8" i="7"/>
  <c r="C9" i="7"/>
  <c r="C10" i="7"/>
  <c r="C11" i="7"/>
  <c r="C12" i="7"/>
  <c r="C13" i="7"/>
  <c r="C14" i="7"/>
  <c r="C15" i="7"/>
  <c r="C16" i="7"/>
  <c r="C17" i="7"/>
  <c r="C7" i="7"/>
  <c r="B10" i="7"/>
  <c r="B11" i="7" s="1"/>
  <c r="B12" i="7" s="1"/>
  <c r="B13" i="7" s="1"/>
  <c r="B14" i="7" s="1"/>
  <c r="B15" i="7" s="1"/>
  <c r="B16" i="7" s="1"/>
  <c r="B17" i="7" s="1"/>
  <c r="P8" i="3"/>
  <c r="P9" i="3"/>
  <c r="P10" i="3"/>
  <c r="P11" i="3"/>
  <c r="P12" i="3"/>
  <c r="P13" i="3"/>
  <c r="P14" i="3"/>
  <c r="P15" i="3"/>
  <c r="P16" i="3"/>
  <c r="P17" i="3"/>
  <c r="P7" i="3"/>
  <c r="N6" i="4"/>
  <c r="C7" i="4" a="1"/>
  <c r="C7" i="4" s="1"/>
  <c r="B7" i="4" a="1"/>
  <c r="B7" i="4" s="1"/>
  <c r="M6" i="4"/>
  <c r="J6" i="4"/>
  <c r="K6" i="4"/>
  <c r="L6" i="4"/>
  <c r="D6" i="4"/>
  <c r="E6" i="4"/>
  <c r="F6" i="4"/>
  <c r="G6" i="4"/>
  <c r="H6" i="4"/>
  <c r="I6" i="4"/>
  <c r="C6" i="4"/>
  <c r="C17" i="3"/>
  <c r="B17" i="2"/>
  <c r="C8" i="3"/>
  <c r="C9" i="3"/>
  <c r="C10" i="3"/>
  <c r="C11" i="3"/>
  <c r="C12" i="3"/>
  <c r="C13" i="3"/>
  <c r="C14" i="3"/>
  <c r="C15" i="3"/>
  <c r="C16" i="3"/>
  <c r="C7" i="3"/>
  <c r="B10" i="3"/>
  <c r="B11" i="3" s="1"/>
  <c r="B12" i="3" s="1"/>
  <c r="B13" i="3" s="1"/>
  <c r="B14" i="3" s="1"/>
  <c r="B15" i="3" s="1"/>
  <c r="B16" i="3" s="1"/>
  <c r="B11" i="2"/>
  <c r="B12" i="2"/>
  <c r="B13" i="2"/>
  <c r="B14" i="2"/>
  <c r="B15" i="2"/>
  <c r="B16" i="2" s="1"/>
  <c r="B10" i="2"/>
  <c r="D10" i="1"/>
  <c r="M17" i="7" l="1"/>
  <c r="K15" i="7"/>
  <c r="L12" i="7"/>
  <c r="M9" i="7"/>
  <c r="L17" i="7"/>
  <c r="M14" i="7"/>
  <c r="K12" i="7"/>
  <c r="N11" i="7"/>
  <c r="L9" i="7"/>
  <c r="K17" i="7"/>
  <c r="N16" i="7"/>
  <c r="L14" i="7"/>
  <c r="M11" i="7"/>
  <c r="K9" i="7"/>
  <c r="N8" i="7"/>
  <c r="M16" i="7"/>
  <c r="S14" i="7"/>
  <c r="K14" i="7"/>
  <c r="N13" i="7"/>
  <c r="L11" i="7"/>
  <c r="M8" i="7"/>
  <c r="N7" i="7"/>
  <c r="L16" i="7"/>
  <c r="R14" i="7"/>
  <c r="J14" i="7"/>
  <c r="M13" i="7"/>
  <c r="S11" i="7"/>
  <c r="K11" i="7"/>
  <c r="N10" i="7"/>
  <c r="L8" i="7"/>
  <c r="M7" i="7"/>
  <c r="S16" i="7"/>
  <c r="K16" i="7"/>
  <c r="N15" i="7"/>
  <c r="Q14" i="7"/>
  <c r="I14" i="7"/>
  <c r="L13" i="7"/>
  <c r="R11" i="7"/>
  <c r="J11" i="7"/>
  <c r="M10" i="7"/>
  <c r="S8" i="7"/>
  <c r="K8" i="7"/>
  <c r="L7" i="7"/>
  <c r="R16" i="7"/>
  <c r="J16" i="7"/>
  <c r="M15" i="7"/>
  <c r="K13" i="7"/>
  <c r="L10" i="7"/>
  <c r="K7" i="7"/>
  <c r="H7" i="7"/>
  <c r="H16" i="7"/>
  <c r="H14" i="7"/>
  <c r="H12" i="7"/>
  <c r="H10" i="7"/>
  <c r="H8" i="7"/>
  <c r="H17" i="7"/>
  <c r="H15" i="7"/>
  <c r="H13" i="7"/>
  <c r="H11" i="7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<sst xmlns="http://schemas.openxmlformats.org/spreadsheetml/2006/main" count="249" uniqueCount="123">
  <si>
    <t>AI Diligence Artifact</t>
  </si>
  <si>
    <t>Step 1: Labor % Estimate</t>
  </si>
  <si>
    <t>&lt;Segment&gt;, &lt;Scope&gt;</t>
  </si>
  <si>
    <t>Estimate</t>
  </si>
  <si>
    <t>Source</t>
  </si>
  <si>
    <t>Comments</t>
  </si>
  <si>
    <t>&lt;Insert Commentary&gt;</t>
  </si>
  <si>
    <t>&lt;Insert Source, Linked&gt;</t>
  </si>
  <si>
    <t>Triangulation</t>
  </si>
  <si>
    <t>Entry #</t>
  </si>
  <si>
    <t>Step 2: Task List Inventory</t>
  </si>
  <si>
    <t>Task</t>
  </si>
  <si>
    <t>Step 3: Atom Matrix Mapping</t>
  </si>
  <si>
    <t>Check</t>
  </si>
  <si>
    <t xml:space="preserve"> </t>
  </si>
  <si>
    <t>Appendix A: House View of Automation Estimates</t>
  </si>
  <si>
    <t>1. Information discovery &amp; retrieval</t>
  </si>
  <si>
    <t>2. Extraction &amp; structuring</t>
  </si>
  <si>
    <t>3. Normalization, reconciliation &amp; integration</t>
  </si>
  <si>
    <t>4. Deterministic execution &amp; transaction processing</t>
  </si>
  <si>
    <t>5. Structured triage &amp; decision support</t>
  </si>
  <si>
    <t>6. Authority-bearing judgment &amp; decisioning</t>
  </si>
  <si>
    <t>7. Drafting, synthesis &amp; artifact assembly</t>
  </si>
  <si>
    <t>8. Stakeholder interaction &amp; influence</t>
  </si>
  <si>
    <t>9. Workflow orchestration &amp; exception resolution</t>
  </si>
  <si>
    <t>10. Assurance, compliance &amp; traceability</t>
  </si>
  <si>
    <t>Locating, accessing, and assembling relevant inputs from systems or repositories. Includes search/query formulation, permission-aware retrieval, source identification, and assembling clean candidate document or data set. Ends before transforming content into structured fields.</t>
  </si>
  <si>
    <t>Converting unstructured or semi-structured inputs into structured fields or code representation. Includes OCR, text extraction, parsing, entity and field extraction, classification, and form completion. Excludes cross-source harmonization and canonical write-back.</t>
  </si>
  <si>
    <t>Making structured data consistent across sources, systems, and time. Includes schema mapping, code and unit normalization, deduplication and entity resolution, reconciliation against constraints, and safe write-back to canonical store or workflow.</t>
  </si>
  <si>
    <t>Executing explicit rules or deterministic transformations that compute outputs or update systems. Includes calculations, script/analytics pipelines, policy-as-code, templated models, ETL, and CRUD-style transaction processing.</t>
  </si>
  <si>
    <t>Classifying, ranking, routing, or pre-adjudicating cases using explicit criteria, scorecards, or scoring models with bounded reasoning. Includes eligibility screening, risk scoring against known models, prioritization, and next-best-action recommendations under defined rules.</t>
  </si>
  <si>
    <t>Making one or more irreversible decisions where ambiguity, high-stakes contexts, or accountability materially matters and fully explicit rules or static heuristics are insufficient. Requires judgment, context-aware reasoning, and handling of edge cases.</t>
  </si>
  <si>
    <t>Producing shareable artifacts such as emails, memos, reports, presentations, specifications, and documentation. Includes summarization, narrative synthesis, citation support, formatting, and assembly into product output structures.</t>
  </si>
  <si>
    <t>Two-way communication with humans to gather information, align goals, teach, persuade, negotiate, de-escalate, or move work forward. Includes internal and external stakeholders; interaction and synchrony are modeled, not separate atoms.</t>
  </si>
  <si>
    <t>Coordinating multiple processes over time through routing, handoffs, scheduling, follow-ups, queue management, state tracking, escalation, and resolution of broken 'happy paths.' Excludes substantive validation or correctness.</t>
  </si>
  <si>
    <t>Work required to verify correctness, safety, policy adherence, governance, and evidentiary sufficiency. Includes testing and validation, monitoring, policy enforcement, checks, audit trails, documentation, and incident response loops.</t>
  </si>
  <si>
    <t>Hands-on real-world actions such as moving or manipulating objects, operating equipment, installation, inspections, bedside tasks, logistics, and site work. For estimation it must be bounded as structured/predictable or variable/unstructured.</t>
  </si>
  <si>
    <t>Atom</t>
  </si>
  <si>
    <t>Today Low</t>
  </si>
  <si>
    <t>Today High</t>
  </si>
  <si>
    <t>2–3y Low</t>
  </si>
  <si>
    <t>2–3y High</t>
  </si>
  <si>
    <t>5–10y Low</t>
  </si>
  <si>
    <t>5–10y High</t>
  </si>
  <si>
    <t>Confidence</t>
  </si>
  <si>
    <t>Key technical dependencies</t>
  </si>
  <si>
    <t>Primary evidence anchors</t>
  </si>
  <si>
    <t>Material modifiers</t>
  </si>
  <si>
    <t>Information discovery &amp; retrieval</t>
  </si>
  <si>
    <t>High — stable boundary and multiple structural anchors.</t>
  </si>
  <si>
    <t>Permissions-aware retrieval; search quality; tool calling; context-window and retrieval fidelity.</t>
  </si>
  <si>
    <t>O*NET 30.2; GPTs are GPTs; Tomlinson et al.; Anthropic EI.</t>
  </si>
  <si>
    <t>Indexed digital knowledge stores and API-rich environments push up (+5 to +15pp); siloed or offline information estates push down (−10 to −20pp).</t>
  </si>
  <si>
    <t>Extraction &amp; structuring</t>
  </si>
  <si>
    <t>High — atom is clean and multimodal capability is advancing quickly.</t>
  </si>
  <si>
    <t>Multimodal parsing robustness; schema stability; automated validation checks.</t>
  </si>
  <si>
    <t>O*NET 30.2; MGI 2017; Anthropic EI; Noy &amp; Zhang.</t>
  </si>
  <si>
    <t>Standardized, high-volume forms push up (+10 to +20pp); messy visuals push down (−10 to −15pp).</t>
  </si>
  <si>
    <t>Normalization, reconciliation &amp; integration</t>
  </si>
  <si>
    <t>Medium — strong structural logic, but integration heterogeneity remains large.</t>
  </si>
  <si>
    <t>Entity resolution; safe write-back; API surface; deterministic checks.</t>
  </si>
  <si>
    <t>GPTs are GPTs; O*NET 30.2; MGI 2017.</t>
  </si>
  <si>
    <t>Modern API-first systems push up (+10 to +15pp); fragmented legacy cores push down (−15 to −25pp).</t>
  </si>
  <si>
    <t>Deterministic execution &amp; transaction processing</t>
  </si>
  <si>
    <t>High — direct productivity evidence plus strong structural logic.</t>
  </si>
  <si>
    <t>Test harnesses; policy-as-code; secure execution; rollback.</t>
  </si>
  <si>
    <t>Peng et al.; SWE-bench; METR RCT.</t>
  </si>
  <si>
    <t>Highly testable workflows push up (+10 to +15pp); safety-critical pushes down (−10 to −20pp).</t>
  </si>
  <si>
    <t>Structured triage &amp; decision support</t>
  </si>
  <si>
    <t>Medium — split is conceptually strong but varies by domain.</t>
  </si>
  <si>
    <t>Explicit criteria; bounded exception space; routing.</t>
  </si>
  <si>
    <t>Dell’Acqua et al.; MGI 2017.</t>
  </si>
  <si>
    <t>Formal protocols push up (+10 to +15pp); wide exceptions push down (−10 to −20pp).</t>
  </si>
  <si>
    <t>Authority-bearing judgment &amp; decisioning</t>
  </si>
  <si>
    <t>Low — few direct anchors and wide uncertainty.</t>
  </si>
  <si>
    <t>Reasoning under ambiguity; calibrated confidence.</t>
  </si>
  <si>
    <t>NIST AI RMF; WEF.</t>
  </si>
  <si>
    <t>Data-rich domains move up (+5 to +15pp); clinical/legal push down (−10 to −20pp).</t>
  </si>
  <si>
    <t>Drafting, synthesis &amp; artifact assembly</t>
  </si>
  <si>
    <t>High — strongest direct empirical evidence base among knowledge-work atoms.</t>
  </si>
  <si>
    <t>Grounded generation; source retrieval; citation support; formatting and publishing automation.</t>
  </si>
  <si>
    <t>Noy &amp; Zhang; Dell’Acqua et al.; GPTs are GPTs; Tomlinson et al.; Anthropic EI.</t>
  </si>
  <si>
    <t>Templated outputs push up (+10 to +15pp); originality-heavy work pushes down (−10 to −15pp).</t>
  </si>
  <si>
    <t>Stakeholder interaction &amp; influence</t>
  </si>
  <si>
    <t>Low-medium — live human variability remains hard to model.</t>
  </si>
  <si>
    <t>Dialogue robustness; speech and multimodal grounding; real-time tool access.</t>
  </si>
  <si>
    <t>Brynjolfsson et al.; MGI 2017; Tomlinson et al.; Anthropic EI.</t>
  </si>
  <si>
    <t>Internal async scripted interaction pushes up (+10 to +20pp); negotiation-heavy pushes down (−10 to −25pp).</t>
  </si>
  <si>
    <t>Workflow orchestration &amp; exception resolution</t>
  </si>
  <si>
    <t>Low — most dependent on benchmark-to-workflow transfer.</t>
  </si>
  <si>
    <t>Long-horizon autonomy; state tracking; recovery; safe handoffs.</t>
  </si>
  <si>
    <t>METR; OSWorld/WebArena/SWE-bench; GPTs are GPTs.</t>
  </si>
  <si>
    <t>Closed environments push up (+10 to +15pp); offline steps push down (−10 to −20pp).</t>
  </si>
  <si>
    <t>Assurance, compliance &amp; traceability</t>
  </si>
  <si>
    <t>Low-medium — assurance residue is real and heterogeneous.</t>
  </si>
  <si>
    <t>Evaluation coverage; monitoring; provenance; audit logging.</t>
  </si>
  <si>
    <t>NIST AI RMF; GPTs are GPTs; Anthropic EI.</t>
  </si>
  <si>
    <t>Codified controls push up (+10 to +15pp); ambiguous standards push down (−10 to −20pp).</t>
  </si>
  <si>
    <t>Physical execution — structured/predictable</t>
  </si>
  <si>
    <t>Medium — strong historical anchor but uneven embodiment.</t>
  </si>
  <si>
    <t>Perception in controlled settings; motion planning; safety engineering.</t>
  </si>
  <si>
    <t>MGI 2017; IFR; ORS.</t>
  </si>
  <si>
    <t>Factories push up (+10 to +15pp); irregular tasks push down (−10 to −15pp).</t>
  </si>
  <si>
    <t>Physical execution — variable/unstructured</t>
  </si>
  <si>
    <t>Low — weakest evidence and hardest frontier.</t>
  </si>
  <si>
    <t>Dexterity; perception under novelty; navigation; safe human interaction.</t>
  </si>
  <si>
    <t>MGI 2017; ORS; robotics benchmarks.</t>
  </si>
  <si>
    <t>Semi-structured environments move up (+5 to +10pp); variability pushes down (−10 to −15pp).</t>
  </si>
  <si>
    <t>11. Physical execution - Structured / Predictable</t>
  </si>
  <si>
    <t>12. Physical execution - Variable/unstructured</t>
  </si>
  <si>
    <t>Step 4: Task List Inventory</t>
  </si>
  <si>
    <t>Distribution / Weight</t>
  </si>
  <si>
    <t>Case Toggle</t>
  </si>
  <si>
    <t>Final Output</t>
  </si>
  <si>
    <t>% of Labor Today</t>
  </si>
  <si>
    <t>Remaining Labor</t>
  </si>
  <si>
    <t>Synthesized Rationale</t>
  </si>
  <si>
    <t>Sources</t>
  </si>
  <si>
    <t>Case</t>
  </si>
  <si>
    <t>Hours</t>
  </si>
  <si>
    <t>Today</t>
  </si>
  <si>
    <t>Hours Automated Away</t>
  </si>
  <si>
    <t>FTE Hours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</si>
</sst>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_(0.0%_);\(0.0%\);0.0%_)"/>
    <numFmt numFmtId="165" formatCode="_(0%_);\(0%\);0%_)"/>
    <numFmt numFmtId="166" formatCode="_(#,##0_);\(#,##0\);_(&quot;-&quot;_);_(@_)"/>
    <numFmt numFmtId="167" formatCode="0.0%"/>
  </numFmts>
  <fonts count="14" x14ac:knownFonts="1">
    <font>
      <sz val="11"/>
      <color theme="1"/>
      <name val="Calibri"/>
      <family val="2"/>
      <scheme val="minor"/>
    </font>
    <font>
      <sz val="8"/>
      <color theme="1"/>
      <name val="Cambria"/>
      <family val="1"/>
    </font>
    <font>
      <b/>
      <sz val="10"/>
      <color theme="1"/>
      <name val="Cambria"/>
      <family val="1"/>
    </font>
    <font>
      <i/>
      <sz val="8"/>
      <color theme="1"/>
      <name val="Cambria"/>
      <family val="1"/>
    </font>
    <font>
      <b/>
      <sz val="8"/>
      <color theme="1"/>
      <name val="Cambria"/>
      <family val="1"/>
    </font>
    <font>
      <u val="singleAccounting"/>
      <sz val="8"/>
      <color theme="1"/>
      <name val="Cambria"/>
      <family val="1"/>
    </font>
    <font>
      <i/>
      <sz val="8"/>
      <color rgb="FFFF0000"/>
      <name val="Cambria"/>
      <family val="1"/>
    </font>
    <font>
      <b/>
      <u val="singleAccounting"/>
      <sz val="8"/>
      <color theme="1"/>
      <name val="Cambria"/>
      <family val="1"/>
    </font>
    <font>
      <i/>
      <sz val="8"/>
      <name val="Cambria"/>
      <family val="1"/>
    </font>
    <font>
      <b/>
      <sz val="11"/>
      <color theme="1"/>
      <name val="Calibri"/>
      <family val="2"/>
      <scheme val="minor"/>
    </font>
    <font>
      <i/>
      <sz val="8"/>
      <color rgb="FF0000FF"/>
      <name val="Cambria"/>
      <family val="1"/>
    </font>
    <font>
      <i/>
      <sz val="8"/>
      <color rgb="FF000000"/>
      <name val="Cambria"/>
      <family val="1"/>
    </font>
    <font>
      <u val="singleAccounting"/>
      <sz val="7"/>
      <color theme="1"/>
      <name val="Cambria"/>
      <family val="1"/>
    </font>
    <font>
      <sz val="8"/>
      <color rgb="FF0000FF"/>
      <name val="Cambria"/>
      <family val="1"/>
    </font>
  </fonts>
  <fills count="2">
    <fill>
      <patternFill patternType="none"/>
    </fill>
    <fill>
      <patternFill patternType="gray125"/>
    </fill>
  </fills>
  <borders count="3">
    <border>
      <left/>
      <right/>
      <top/>
      <bottom/>
      <diagonal/>
    </border>
    <border>
      <left/>
      <right/>
      <top style="thin">
        <color rgb="FF000000"/>
      </top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29">
    <xf numFmtId="0" fontId="0" fillId="0" borderId="0" xfId="0"/>
    <xf numFmtId="0" fontId="1" fillId="0" borderId="0" xfId="0" applyFont="1"/>
    <xf numFmtId="0" fontId="2" fillId="0" borderId="0" xfId="0" applyFont="1"/>
    <xf numFmtId="0" fontId="4" fillId="0" borderId="0" xfId="0" applyFont="1"/>
    <xf numFmtId="17" fontId="5" fillId="0" borderId="0" xfId="0" applyNumberFormat="1" applyFont="1" applyAlignment="1">
      <alignment horizontal="centerContinuous"/>
    </xf>
    <xf numFmtId="164" fontId="3" fillId="0" borderId="0" xfId="0" applyNumberFormat="1" applyFont="1"/>
    <xf numFmtId="164" fontId="6" fillId="0" borderId="0" xfId="0" applyNumberFormat="1" applyFont="1"/>
    <xf numFmtId="0" fontId="6" fillId="0" borderId="0" xfId="0" applyFont="1"/>
    <xf numFmtId="164" fontId="6" fillId="0" borderId="0" xfId="0" applyNumberFormat="1" applyFont="1" applyAlignment="1">
      <alignment horizontal="center"/>
    </xf>
    <xf numFmtId="165" fontId="6" fillId="0" borderId="0" xfId="0" applyNumberFormat="1" applyFont="1" applyAlignment="1">
      <alignment horizontal="center"/>
    </xf>
    <xf numFmtId="0" fontId="1" fillId="0" borderId="1" xfId="0" applyFont="1" applyBorder="1"/>
    <xf numFmtId="0" fontId="4" fillId="0" borderId="1" xfId="0" applyFont="1" applyBorder="1"/>
    <xf numFmtId="165" fontId="1" fillId="0" borderId="1" xfId="0" applyNumberFormat="1" applyFont="1" applyBorder="1" applyAlignment="1">
      <alignment horizontal="center"/>
    </xf>
    <xf numFmtId="17" fontId="7" fillId="0" borderId="0" xfId="0" applyNumberFormat="1" applyFont="1" applyAlignment="1">
      <alignment horizontal="centerContinuous"/>
    </xf>
    <xf numFmtId="0" fontId="1" fillId="0" borderId="0" xfId="0" applyFont="1" applyAlignment="1">
      <alignment horizontal="left"/>
    </xf>
    <xf numFmtId="166" fontId="6" fillId="0" borderId="0" xfId="0" applyNumberFormat="1" applyFont="1" applyAlignment="1">
      <alignment horizontal="center"/>
    </xf>
    <xf numFmtId="166" fontId="8" fillId="0" borderId="0" xfId="0" applyNumberFormat="1" applyFont="1" applyAlignment="1">
      <alignment horizontal="center"/>
    </xf>
    <xf numFmtId="17" fontId="5" fillId="0" borderId="0" xfId="0" applyNumberFormat="1" applyFont="1" applyAlignment="1">
      <alignment horizontal="center" wrapText="1"/>
    </xf>
    <xf numFmtId="0" fontId="6" fillId="0" borderId="0" xfId="0" applyFont="1" applyAlignment="1">
      <alignment horizontal="center"/>
    </xf>
    <xf numFmtId="0" fontId="9" fillId="0" borderId="2" xfId="0" applyFont="1" applyBorder="1" applyAlignment="1">
      <alignment horizontal="center" vertical="top"/>
    </xf>
    <xf numFmtId="164" fontId="10" fillId="0" borderId="0" xfId="0" applyNumberFormat="1" applyFont="1" applyAlignment="1">
      <alignment horizontal="center"/>
    </xf>
    <xf numFmtId="167" fontId="1" fillId="0" borderId="0" xfId="0" applyNumberFormat="1" applyFont="1" applyAlignment="1">
      <alignment horizontal="center"/>
    </xf>
    <xf numFmtId="166" fontId="10" fillId="0" borderId="0" xfId="0" applyNumberFormat="1" applyFont="1" applyAlignment="1">
      <alignment horizontal="center"/>
    </xf>
    <xf numFmtId="166" fontId="11" fillId="0" borderId="0" xfId="0" applyNumberFormat="1" applyFont="1" applyAlignment="1">
      <alignment horizontal="center"/>
    </xf>
    <xf numFmtId="17" fontId="12" fillId="0" borderId="0" xfId="0" applyNumberFormat="1" applyFont="1" applyAlignment="1">
      <alignment horizontal="centerContinuous" wrapText="1"/>
    </xf>
    <xf numFmtId="164" fontId="11" fillId="0" borderId="0" xfId="0" applyNumberFormat="1" applyFont="1" applyAlignment="1">
      <alignment horizontal="center"/>
    </xf>
    <xf numFmtId="0" fontId="13" fillId="0" borderId="0" xfId="0" applyFont="1" applyAlignment="1">
      <alignment horizontal="center"/>
    </xf>
    <xf numFmtId="166" fontId="1" fillId="0" borderId="0" xfId="0" applyNumberFormat="1" applyFont="1" applyAlignment="1">
      <alignment horizontal="center"/>
    </xf>
    <xf numFmtId="166" fontId="1" fillId="0" borderId="1" xfId="0" applyNumberFormat="1" applyFont="1" applyBorder="1" applyAlignment="1">
      <alignment horizont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eetMetadata" Target="metadata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3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2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Relationship Id="rId14" Type="http://schemas.openxmlformats.org/officeDocument/2006/relationships/customXml" Target="../customXml/item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B2:E10"/>
  <sheetViews>
    <sheetView workbookViewId="0">
      <selection sqref="A1:XFD1048576"/>
    </sheetView>
  </sheetViews>
  <sheetFormatPr baseColWidth="10" defaultColWidth="8.6640625" defaultRowHeight="11" x14ac:dyDescent="0.15"/>
  <cols>
    <col min="1" max="1" width="2.33203125" style="1" customWidth="1"/>
    <col min="2" max="2" width="9.5" style="1" customWidth="1"/>
    <col min="3" max="3" width="21.1640625" style="1" customWidth="1"/>
    <col min="4" max="5" width="15.33203125" style="1" customWidth="1"/>
    <col min="6" max="6" width="1.6640625" style="1" customWidth="1"/>
    <col min="7" max="7" width="19.33203125" style="1" customWidth="1"/>
    <col min="8" max="16384" width="8.6640625" style="1"/>
  </cols>
  <sheetData>
    <row r="2" spans="2:5" ht="13" x14ac:dyDescent="0.15">
      <c r="B2" s="2" t="s">
        <v>0</v>
      </c>
    </row>
    <row r="3" spans="2:5" x14ac:dyDescent="0.15">
      <c r="B3" s="7" t="s">
        <v>2</v>
      </c>
    </row>
    <row r="5" spans="2:5" x14ac:dyDescent="0.15">
      <c r="B5" s="3" t="s">
        <v>1</v>
      </c>
    </row>
    <row r="6" spans="2:5" ht="14" x14ac:dyDescent="0.3">
      <c r="B6" s="14" t="s">
        <v>9</v>
      </c>
      <c r="C6" s="4" t="s">
        <v>4</v>
      </c>
      <c r="D6" s="4" t="s">
        <v>3</v>
      </c>
      <c r="E6" s="4" t="s">
        <v>5</v>
      </c>
    </row>
    <row r="7" spans="2:5" x14ac:dyDescent="0.15">
      <c r="B7" s="14">
        <v>1</v>
      </c>
      <c r="C7" s="7" t="s">
        <v>7</v>
      </c>
      <c r="D7" s="9">
        <v>0</v>
      </c>
      <c r="E7" s="7" t="s">
        <v>6</v>
      </c>
    </row>
    <row r="8" spans="2:5" x14ac:dyDescent="0.15">
      <c r="B8" s="14">
        <v>2</v>
      </c>
      <c r="C8" s="7" t="s">
        <v>7</v>
      </c>
      <c r="D8" s="9">
        <v>0</v>
      </c>
      <c r="E8" s="7" t="s">
        <v>6</v>
      </c>
    </row>
    <row r="9" spans="2:5" x14ac:dyDescent="0.15">
      <c r="B9" s="14">
        <v>3</v>
      </c>
      <c r="C9" s="7" t="s">
        <v>7</v>
      </c>
      <c r="D9" s="9">
        <v>0</v>
      </c>
      <c r="E9" s="7" t="s">
        <v>6</v>
      </c>
    </row>
    <row r="10" spans="2:5" x14ac:dyDescent="0.15">
      <c r="B10" s="14">
        <v>4</v>
      </c>
      <c r="C10" s="11" t="s">
        <v>8</v>
      </c>
      <c r="D10" s="12">
        <f>AVERAGE(D7:D9)</f>
        <v>0</v>
      </c>
      <c r="E10" s="10"/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EEB28C2-D5AF-4724-832E-0D4D205BBD6B}">
  <dimension ref="B2:E18"/>
  <sheetViews>
    <sheetView workbookViewId="0">
      <selection activeCell="C19" sqref="C19"/>
    </sheetView>
  </sheetViews>
  <sheetFormatPr baseColWidth="10" defaultColWidth="8.6640625" defaultRowHeight="11" x14ac:dyDescent="0.15"/>
  <cols>
    <col min="1" max="1" width="2.33203125" style="1" customWidth="1"/>
    <col min="2" max="2" width="9.5" style="1" customWidth="1"/>
    <col min="3" max="3" width="21.1640625" style="1" customWidth="1"/>
    <col min="4" max="5" width="15.33203125" style="1" customWidth="1"/>
    <col min="6" max="6" width="1.6640625" style="1" customWidth="1"/>
    <col min="7" max="7" width="19.33203125" style="1" customWidth="1"/>
    <col min="8" max="16384" width="8.6640625" style="1"/>
  </cols>
  <sheetData>
    <row r="2" spans="2:5" ht="13" x14ac:dyDescent="0.15">
      <c r="B2" s="2" t="s">
        <v>0</v>
      </c>
    </row>
    <row r="3" spans="2:5" x14ac:dyDescent="0.15">
      <c r="B3" s="7" t="s">
        <v>2</v>
      </c>
    </row>
    <row r="5" spans="2:5" x14ac:dyDescent="0.15">
      <c r="B5" s="3" t="s">
        <v>10</v>
      </c>
    </row>
    <row r="6" spans="2:5" ht="14" x14ac:dyDescent="0.3">
      <c r="B6" s="14" t="s">
        <v>9</v>
      </c>
      <c r="C6" s="4" t="s">
        <v>11</v>
      </c>
      <c r="D6" s="4" t="s">
        <v>4</v>
      </c>
      <c r="E6" s="4" t="s">
        <v>5</v>
      </c>
    </row>
    <row r="7" spans="2:5" x14ac:dyDescent="0.15">
      <c r="B7" s="14">
        <v>1</v>
      </c>
      <c r="C7" s="15">
        <v>0</v>
      </c>
      <c r="D7" s="7" t="s">
        <v>7</v>
      </c>
      <c r="E7" s="7" t="s">
        <v>6</v>
      </c>
    </row>
    <row r="8" spans="2:5" x14ac:dyDescent="0.15">
      <c r="B8" s="14">
        <v>2</v>
      </c>
      <c r="C8" s="15">
        <v>0</v>
      </c>
      <c r="D8" s="7" t="s">
        <v>7</v>
      </c>
      <c r="E8" s="7" t="s">
        <v>6</v>
      </c>
    </row>
    <row r="9" spans="2:5" x14ac:dyDescent="0.15">
      <c r="B9" s="14">
        <v>3</v>
      </c>
      <c r="C9" s="15">
        <v>0</v>
      </c>
      <c r="D9" s="7" t="s">
        <v>7</v>
      </c>
      <c r="E9" s="7" t="s">
        <v>6</v>
      </c>
    </row>
    <row r="10" spans="2:5" x14ac:dyDescent="0.15">
      <c r="B10" s="14">
        <f>B9+1</f>
        <v>4</v>
      </c>
      <c r="C10" s="15">
        <v>0</v>
      </c>
      <c r="D10" s="7" t="s">
        <v>7</v>
      </c>
      <c r="E10" s="7" t="s">
        <v>6</v>
      </c>
    </row>
    <row r="11" spans="2:5" x14ac:dyDescent="0.15">
      <c r="B11" s="14">
        <f t="shared" ref="B11:B16" si="0">B10+1</f>
        <v>5</v>
      </c>
      <c r="C11" s="15">
        <v>0</v>
      </c>
      <c r="D11" s="7" t="s">
        <v>7</v>
      </c>
      <c r="E11" s="7" t="s">
        <v>6</v>
      </c>
    </row>
    <row r="12" spans="2:5" x14ac:dyDescent="0.15">
      <c r="B12" s="14">
        <f t="shared" si="0"/>
        <v>6</v>
      </c>
      <c r="C12" s="15">
        <v>0</v>
      </c>
      <c r="D12" s="7" t="s">
        <v>7</v>
      </c>
      <c r="E12" s="7" t="s">
        <v>6</v>
      </c>
    </row>
    <row r="13" spans="2:5" x14ac:dyDescent="0.15">
      <c r="B13" s="14">
        <f t="shared" si="0"/>
        <v>7</v>
      </c>
      <c r="C13" s="15">
        <v>0</v>
      </c>
      <c r="D13" s="7" t="s">
        <v>7</v>
      </c>
      <c r="E13" s="7" t="s">
        <v>6</v>
      </c>
    </row>
    <row r="14" spans="2:5" x14ac:dyDescent="0.15">
      <c r="B14" s="14">
        <f t="shared" si="0"/>
        <v>8</v>
      </c>
      <c r="C14" s="15">
        <v>0</v>
      </c>
      <c r="D14" s="7" t="s">
        <v>7</v>
      </c>
      <c r="E14" s="7" t="s">
        <v>6</v>
      </c>
    </row>
    <row r="15" spans="2:5" x14ac:dyDescent="0.15">
      <c r="B15" s="14">
        <f t="shared" si="0"/>
        <v>9</v>
      </c>
      <c r="C15" s="15">
        <v>0</v>
      </c>
      <c r="D15" s="7" t="s">
        <v>7</v>
      </c>
      <c r="E15" s="7" t="s">
        <v>6</v>
      </c>
    </row>
    <row r="16" spans="2:5" x14ac:dyDescent="0.15">
      <c r="B16" s="14">
        <f t="shared" si="0"/>
        <v>10</v>
      </c>
      <c r="C16" s="15">
        <v>0</v>
      </c>
      <c r="D16" s="7" t="s">
        <v>7</v>
      </c>
      <c r="E16" s="7" t="s">
        <v>6</v>
      </c>
    </row>
    <row r="17" spans="2:5" x14ac:dyDescent="0.15">
      <c r="B17" s="14">
        <f t="shared" ref="B17:B18" si="1">B16+1</f>
        <v>11</v>
      </c>
      <c r="C17" s="15">
        <v>0</v>
      </c>
      <c r="D17" s="7" t="s">
        <v>7</v>
      </c>
      <c r="E17" s="7" t="s">
        <v>6</v>
      </c>
    </row>
    <row r="18" spans="2:5" x14ac:dyDescent="0.15">
      <c r="B18" s="14">
        <f t="shared" si="1"/>
        <v>12</v>
      </c>
      <c r="C18" s="15">
        <v>0</v>
      </c>
      <c r="D18" s="7" t="s">
        <v>7</v>
      </c>
      <c r="E18" s="7" t="s">
        <v>6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5FAE463-A8E0-417C-9164-24A22BF61796}">
  <dimension ref="B2:R18"/>
  <sheetViews>
    <sheetView zoomScale="71" workbookViewId="0">
      <selection activeCell="D11" sqref="D11"/>
    </sheetView>
  </sheetViews>
  <sheetFormatPr baseColWidth="10" defaultColWidth="8.6640625" defaultRowHeight="11" x14ac:dyDescent="0.15"/>
  <cols>
    <col min="1" max="1" width="2.33203125" style="1" customWidth="1"/>
    <col min="2" max="2" width="9.5" style="1" customWidth="1"/>
    <col min="3" max="3" width="21.1640625" style="1" customWidth="1"/>
    <col min="4" max="15" width="18.5" style="1" customWidth="1"/>
    <col min="16" max="16" width="8.6640625" style="1"/>
    <col min="17" max="17" width="15.6640625" style="1" customWidth="1"/>
    <col min="18" max="18" width="19.1640625" style="1" customWidth="1"/>
    <col min="19" max="16384" width="8.6640625" style="1"/>
  </cols>
  <sheetData>
    <row r="2" spans="2:18" ht="13" x14ac:dyDescent="0.15">
      <c r="B2" s="2" t="s">
        <v>0</v>
      </c>
    </row>
    <row r="3" spans="2:18" x14ac:dyDescent="0.15">
      <c r="B3" s="7" t="s">
        <v>2</v>
      </c>
    </row>
    <row r="5" spans="2:18" x14ac:dyDescent="0.15">
      <c r="B5" s="3" t="s">
        <v>12</v>
      </c>
      <c r="D5" s="1" t="s">
        <v>26</v>
      </c>
      <c r="E5" s="1" t="s">
        <v>27</v>
      </c>
      <c r="F5" s="1" t="s">
        <v>28</v>
      </c>
      <c r="G5" s="1" t="s">
        <v>29</v>
      </c>
      <c r="H5" s="1" t="s">
        <v>30</v>
      </c>
      <c r="I5" s="1" t="s">
        <v>31</v>
      </c>
      <c r="J5" s="1" t="s">
        <v>32</v>
      </c>
      <c r="K5" s="1" t="s">
        <v>33</v>
      </c>
      <c r="L5" s="1" t="s">
        <v>34</v>
      </c>
      <c r="M5" s="1" t="s">
        <v>35</v>
      </c>
      <c r="N5" s="1" t="s">
        <v>36</v>
      </c>
      <c r="O5" s="1" t="s">
        <v>36</v>
      </c>
      <c r="P5" s="1" t="s">
        <v>14</v>
      </c>
      <c r="Q5" s="1" t="s">
        <v>14</v>
      </c>
    </row>
    <row r="6" spans="2:18" ht="35.5" customHeight="1" x14ac:dyDescent="0.3">
      <c r="B6" s="14" t="s">
        <v>9</v>
      </c>
      <c r="C6" s="4" t="s">
        <v>11</v>
      </c>
      <c r="D6" s="17" t="s">
        <v>16</v>
      </c>
      <c r="E6" s="17" t="s">
        <v>17</v>
      </c>
      <c r="F6" s="17" t="s">
        <v>18</v>
      </c>
      <c r="G6" s="17" t="s">
        <v>19</v>
      </c>
      <c r="H6" s="17" t="s">
        <v>20</v>
      </c>
      <c r="I6" s="17" t="s">
        <v>21</v>
      </c>
      <c r="J6" s="17" t="s">
        <v>22</v>
      </c>
      <c r="K6" s="17" t="s">
        <v>23</v>
      </c>
      <c r="L6" s="17" t="s">
        <v>24</v>
      </c>
      <c r="M6" s="17" t="s">
        <v>25</v>
      </c>
      <c r="N6" s="17" t="s">
        <v>108</v>
      </c>
      <c r="O6" s="17" t="s">
        <v>109</v>
      </c>
      <c r="P6" s="4" t="s">
        <v>13</v>
      </c>
      <c r="Q6" s="4" t="s">
        <v>4</v>
      </c>
      <c r="R6" s="4" t="s">
        <v>5</v>
      </c>
    </row>
    <row r="7" spans="2:18" x14ac:dyDescent="0.15">
      <c r="B7" s="14">
        <v>1</v>
      </c>
      <c r="C7" s="16">
        <f>'Step 2'!C7</f>
        <v>0</v>
      </c>
      <c r="D7" s="6">
        <v>0</v>
      </c>
      <c r="E7" s="6">
        <v>0</v>
      </c>
      <c r="F7" s="6">
        <v>0</v>
      </c>
      <c r="G7" s="6">
        <v>0</v>
      </c>
      <c r="H7" s="6">
        <v>0</v>
      </c>
      <c r="I7" s="6">
        <v>0</v>
      </c>
      <c r="J7" s="6">
        <v>0</v>
      </c>
      <c r="K7" s="6">
        <v>0</v>
      </c>
      <c r="L7" s="6">
        <v>0</v>
      </c>
      <c r="M7" s="6">
        <v>0</v>
      </c>
      <c r="N7" s="6">
        <v>0</v>
      </c>
      <c r="O7" s="6">
        <v>0</v>
      </c>
      <c r="P7" s="21" t="str">
        <f>IF(1-SUM(D7:O7)=0,"pass", "fail")</f>
        <v>fail</v>
      </c>
      <c r="Q7" s="18" t="s">
        <v>7</v>
      </c>
      <c r="R7" s="18" t="s">
        <v>6</v>
      </c>
    </row>
    <row r="8" spans="2:18" x14ac:dyDescent="0.15">
      <c r="B8" s="14">
        <v>2</v>
      </c>
      <c r="C8" s="16">
        <f>'Step 2'!C8</f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21" t="str">
        <f t="shared" ref="P8:P17" si="0">IF(1-SUM(D8:O8)=0,"pass", "fail")</f>
        <v>fail</v>
      </c>
      <c r="Q8" s="18" t="s">
        <v>7</v>
      </c>
      <c r="R8" s="18" t="s">
        <v>6</v>
      </c>
    </row>
    <row r="9" spans="2:18" x14ac:dyDescent="0.15">
      <c r="B9" s="14">
        <v>3</v>
      </c>
      <c r="C9" s="16">
        <f>'Step 2'!C9</f>
        <v>0</v>
      </c>
      <c r="D9" s="6">
        <v>0</v>
      </c>
      <c r="E9" s="6">
        <v>0</v>
      </c>
      <c r="F9" s="6">
        <v>0</v>
      </c>
      <c r="G9" s="6">
        <v>0</v>
      </c>
      <c r="H9" s="6">
        <v>0</v>
      </c>
      <c r="I9" s="6">
        <v>0</v>
      </c>
      <c r="J9" s="6">
        <v>0</v>
      </c>
      <c r="K9" s="6">
        <v>0</v>
      </c>
      <c r="L9" s="6">
        <v>0</v>
      </c>
      <c r="M9" s="6">
        <v>0</v>
      </c>
      <c r="N9" s="6">
        <v>0</v>
      </c>
      <c r="O9" s="6">
        <v>0</v>
      </c>
      <c r="P9" s="21" t="str">
        <f t="shared" si="0"/>
        <v>fail</v>
      </c>
      <c r="Q9" s="18" t="s">
        <v>7</v>
      </c>
      <c r="R9" s="18" t="s">
        <v>6</v>
      </c>
    </row>
    <row r="10" spans="2:18" x14ac:dyDescent="0.15">
      <c r="B10" s="14">
        <f>B9+1</f>
        <v>4</v>
      </c>
      <c r="C10" s="16">
        <f>'Step 2'!C10</f>
        <v>0</v>
      </c>
      <c r="D10" s="6">
        <v>0</v>
      </c>
      <c r="E10" s="6">
        <v>0</v>
      </c>
      <c r="F10" s="6">
        <v>0</v>
      </c>
      <c r="G10" s="6">
        <v>0</v>
      </c>
      <c r="H10" s="6">
        <v>0</v>
      </c>
      <c r="I10" s="6">
        <v>0</v>
      </c>
      <c r="J10" s="6">
        <v>0</v>
      </c>
      <c r="K10" s="6">
        <v>0</v>
      </c>
      <c r="L10" s="6">
        <v>0</v>
      </c>
      <c r="M10" s="6">
        <v>0</v>
      </c>
      <c r="N10" s="6">
        <v>0</v>
      </c>
      <c r="O10" s="6">
        <v>0</v>
      </c>
      <c r="P10" s="21" t="str">
        <f t="shared" si="0"/>
        <v>fail</v>
      </c>
      <c r="Q10" s="18" t="s">
        <v>7</v>
      </c>
      <c r="R10" s="18" t="s">
        <v>6</v>
      </c>
    </row>
    <row r="11" spans="2:18" x14ac:dyDescent="0.15">
      <c r="B11" s="14">
        <f t="shared" ref="B11:B16" si="1">B10+1</f>
        <v>5</v>
      </c>
      <c r="C11" s="16">
        <f>'Step 2'!C11</f>
        <v>0</v>
      </c>
      <c r="D11" s="6">
        <v>0</v>
      </c>
      <c r="E11" s="6">
        <v>0</v>
      </c>
      <c r="F11" s="6">
        <v>0</v>
      </c>
      <c r="G11" s="6">
        <v>0</v>
      </c>
      <c r="H11" s="6">
        <v>0</v>
      </c>
      <c r="I11" s="6">
        <v>0</v>
      </c>
      <c r="J11" s="6">
        <v>0</v>
      </c>
      <c r="K11" s="6">
        <v>0</v>
      </c>
      <c r="L11" s="6">
        <v>0</v>
      </c>
      <c r="M11" s="6">
        <v>0</v>
      </c>
      <c r="N11" s="6">
        <v>0</v>
      </c>
      <c r="O11" s="6">
        <v>0</v>
      </c>
      <c r="P11" s="21" t="str">
        <f t="shared" si="0"/>
        <v>fail</v>
      </c>
      <c r="Q11" s="18" t="s">
        <v>7</v>
      </c>
      <c r="R11" s="18" t="s">
        <v>6</v>
      </c>
    </row>
    <row r="12" spans="2:18" x14ac:dyDescent="0.15">
      <c r="B12" s="14">
        <f t="shared" si="1"/>
        <v>6</v>
      </c>
      <c r="C12" s="16">
        <f>'Step 2'!C12</f>
        <v>0</v>
      </c>
      <c r="D12" s="6">
        <v>0</v>
      </c>
      <c r="E12" s="6">
        <v>0</v>
      </c>
      <c r="F12" s="6">
        <v>0</v>
      </c>
      <c r="G12" s="6">
        <v>0</v>
      </c>
      <c r="H12" s="6">
        <v>0</v>
      </c>
      <c r="I12" s="6">
        <v>0</v>
      </c>
      <c r="J12" s="6">
        <v>0</v>
      </c>
      <c r="K12" s="6">
        <v>0</v>
      </c>
      <c r="L12" s="6">
        <v>0</v>
      </c>
      <c r="M12" s="6">
        <v>0</v>
      </c>
      <c r="N12" s="6">
        <v>0</v>
      </c>
      <c r="O12" s="6">
        <v>0</v>
      </c>
      <c r="P12" s="21" t="str">
        <f t="shared" si="0"/>
        <v>fail</v>
      </c>
      <c r="Q12" s="18" t="s">
        <v>7</v>
      </c>
      <c r="R12" s="18" t="s">
        <v>6</v>
      </c>
    </row>
    <row r="13" spans="2:18" x14ac:dyDescent="0.15">
      <c r="B13" s="14">
        <f t="shared" si="1"/>
        <v>7</v>
      </c>
      <c r="C13" s="16">
        <f>'Step 2'!C13</f>
        <v>0</v>
      </c>
      <c r="D13" s="6">
        <v>0</v>
      </c>
      <c r="E13" s="6">
        <v>0</v>
      </c>
      <c r="F13" s="6">
        <v>0</v>
      </c>
      <c r="G13" s="6">
        <v>0</v>
      </c>
      <c r="H13" s="6">
        <v>0</v>
      </c>
      <c r="I13" s="6">
        <v>0</v>
      </c>
      <c r="J13" s="6">
        <v>0</v>
      </c>
      <c r="K13" s="6">
        <v>0</v>
      </c>
      <c r="L13" s="6">
        <v>0</v>
      </c>
      <c r="M13" s="6">
        <v>0</v>
      </c>
      <c r="N13" s="6">
        <v>0</v>
      </c>
      <c r="O13" s="6">
        <v>0</v>
      </c>
      <c r="P13" s="21" t="str">
        <f t="shared" si="0"/>
        <v>fail</v>
      </c>
      <c r="Q13" s="18" t="s">
        <v>7</v>
      </c>
      <c r="R13" s="18" t="s">
        <v>6</v>
      </c>
    </row>
    <row r="14" spans="2:18" x14ac:dyDescent="0.15">
      <c r="B14" s="14">
        <f t="shared" si="1"/>
        <v>8</v>
      </c>
      <c r="C14" s="16">
        <f>'Step 2'!C14</f>
        <v>0</v>
      </c>
      <c r="D14" s="6">
        <v>0</v>
      </c>
      <c r="E14" s="6">
        <v>0</v>
      </c>
      <c r="F14" s="6">
        <v>0</v>
      </c>
      <c r="G14" s="6">
        <v>0</v>
      </c>
      <c r="H14" s="6">
        <v>0</v>
      </c>
      <c r="I14" s="6">
        <v>0</v>
      </c>
      <c r="J14" s="6">
        <v>0</v>
      </c>
      <c r="K14" s="6">
        <v>0</v>
      </c>
      <c r="L14" s="6">
        <v>0</v>
      </c>
      <c r="M14" s="6">
        <v>0</v>
      </c>
      <c r="N14" s="6">
        <v>0</v>
      </c>
      <c r="O14" s="6">
        <v>0</v>
      </c>
      <c r="P14" s="21" t="str">
        <f t="shared" si="0"/>
        <v>fail</v>
      </c>
      <c r="Q14" s="18" t="s">
        <v>7</v>
      </c>
      <c r="R14" s="18" t="s">
        <v>6</v>
      </c>
    </row>
    <row r="15" spans="2:18" x14ac:dyDescent="0.15">
      <c r="B15" s="14">
        <f t="shared" si="1"/>
        <v>9</v>
      </c>
      <c r="C15" s="16">
        <f>'Step 2'!C15</f>
        <v>0</v>
      </c>
      <c r="D15" s="6">
        <v>0</v>
      </c>
      <c r="E15" s="6">
        <v>0</v>
      </c>
      <c r="F15" s="6">
        <v>0</v>
      </c>
      <c r="G15" s="6">
        <v>0</v>
      </c>
      <c r="H15" s="6">
        <v>0</v>
      </c>
      <c r="I15" s="6">
        <v>0</v>
      </c>
      <c r="J15" s="6">
        <v>0</v>
      </c>
      <c r="K15" s="6">
        <v>0</v>
      </c>
      <c r="L15" s="6">
        <v>0</v>
      </c>
      <c r="M15" s="6">
        <v>0</v>
      </c>
      <c r="N15" s="6">
        <v>0</v>
      </c>
      <c r="O15" s="6">
        <v>0</v>
      </c>
      <c r="P15" s="21" t="str">
        <f t="shared" si="0"/>
        <v>fail</v>
      </c>
      <c r="Q15" s="18" t="s">
        <v>7</v>
      </c>
      <c r="R15" s="18" t="s">
        <v>6</v>
      </c>
    </row>
    <row r="16" spans="2:18" x14ac:dyDescent="0.15">
      <c r="B16" s="14">
        <f t="shared" si="1"/>
        <v>10</v>
      </c>
      <c r="C16" s="16">
        <f>'Step 2'!C16</f>
        <v>0</v>
      </c>
      <c r="D16" s="6">
        <v>0</v>
      </c>
      <c r="E16" s="6">
        <v>0</v>
      </c>
      <c r="F16" s="6">
        <v>0</v>
      </c>
      <c r="G16" s="6">
        <v>0</v>
      </c>
      <c r="H16" s="6">
        <v>0</v>
      </c>
      <c r="I16" s="6">
        <v>0</v>
      </c>
      <c r="J16" s="6">
        <v>0</v>
      </c>
      <c r="K16" s="6">
        <v>0</v>
      </c>
      <c r="L16" s="6">
        <v>0</v>
      </c>
      <c r="M16" s="6">
        <v>0</v>
      </c>
      <c r="N16" s="6">
        <v>0</v>
      </c>
      <c r="O16" s="6">
        <v>0</v>
      </c>
      <c r="P16" s="21" t="str">
        <f t="shared" si="0"/>
        <v>fail</v>
      </c>
      <c r="Q16" s="18" t="s">
        <v>7</v>
      </c>
      <c r="R16" s="18" t="s">
        <v>6</v>
      </c>
    </row>
    <row r="17" spans="2:18" x14ac:dyDescent="0.15">
      <c r="B17" s="14">
        <v>11</v>
      </c>
      <c r="C17" s="16">
        <f>'Step 2'!C17</f>
        <v>0</v>
      </c>
      <c r="D17" s="6">
        <v>0</v>
      </c>
      <c r="E17" s="6">
        <v>0</v>
      </c>
      <c r="F17" s="6">
        <v>0</v>
      </c>
      <c r="G17" s="6">
        <v>0</v>
      </c>
      <c r="H17" s="6">
        <v>0</v>
      </c>
      <c r="I17" s="6">
        <v>0</v>
      </c>
      <c r="J17" s="6">
        <v>0</v>
      </c>
      <c r="K17" s="6">
        <v>0</v>
      </c>
      <c r="L17" s="6">
        <v>0</v>
      </c>
      <c r="M17" s="6">
        <v>0</v>
      </c>
      <c r="N17" s="6">
        <v>0</v>
      </c>
      <c r="O17" s="6">
        <v>0</v>
      </c>
      <c r="P17" s="21" t="str">
        <f t="shared" si="0"/>
        <v>fail</v>
      </c>
      <c r="Q17" s="18" t="s">
        <v>7</v>
      </c>
      <c r="R17" s="18" t="s">
        <v>6</v>
      </c>
    </row>
    <row r="18" spans="2:18" x14ac:dyDescent="0.15">
      <c r="B18" s="14">
        <v>12</v>
      </c>
      <c r="C18" s="16">
        <f>'Step 2'!C18</f>
        <v>0</v>
      </c>
      <c r="D18" s="6">
        <v>0</v>
      </c>
      <c r="E18" s="6">
        <v>0</v>
      </c>
      <c r="F18" s="6">
        <v>0</v>
      </c>
      <c r="G18" s="6">
        <v>0</v>
      </c>
      <c r="H18" s="6">
        <v>0</v>
      </c>
      <c r="I18" s="6">
        <v>0</v>
      </c>
      <c r="J18" s="6">
        <v>0</v>
      </c>
      <c r="K18" s="6">
        <v>0</v>
      </c>
      <c r="L18" s="6">
        <v>0</v>
      </c>
      <c r="M18" s="6">
        <v>0</v>
      </c>
      <c r="N18" s="6">
        <v>0</v>
      </c>
      <c r="O18" s="6">
        <v>0</v>
      </c>
      <c r="P18" s="21" t="str">
        <f t="shared" ref="P18" si="2">IF(1-SUM(D18:O18)=0,"pass", "fail")</f>
        <v>fail</v>
      </c>
      <c r="Q18" s="18" t="s">
        <v>7</v>
      </c>
      <c r="R18" s="18" t="s">
        <v>6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0C1C1C5-6BB7-4202-80DA-FEAE47E837D3}">
  <dimension ref="B2:Q17"/>
  <sheetViews>
    <sheetView workbookViewId="0">
      <selection activeCell="M6" sqref="M6"/>
    </sheetView>
  </sheetViews>
  <sheetFormatPr baseColWidth="10" defaultColWidth="8.6640625" defaultRowHeight="11" x14ac:dyDescent="0.15"/>
  <cols>
    <col min="1" max="1" width="2.33203125" style="1" customWidth="1"/>
    <col min="2" max="2" width="9.5" style="1" customWidth="1"/>
    <col min="3" max="3" width="21.1640625" style="1" customWidth="1"/>
    <col min="4" max="14" width="18.5" style="1" customWidth="1"/>
    <col min="15" max="15" width="8.6640625" style="1"/>
    <col min="16" max="16" width="15.6640625" style="1" customWidth="1"/>
    <col min="17" max="17" width="19.1640625" style="1" customWidth="1"/>
    <col min="18" max="16384" width="8.6640625" style="1"/>
  </cols>
  <sheetData>
    <row r="2" spans="2:17" ht="13" x14ac:dyDescent="0.15">
      <c r="B2" s="2" t="s">
        <v>0</v>
      </c>
    </row>
    <row r="3" spans="2:17" x14ac:dyDescent="0.15">
      <c r="B3" s="7" t="s">
        <v>2</v>
      </c>
    </row>
    <row r="5" spans="2:17" x14ac:dyDescent="0.15">
      <c r="B5" s="3" t="s">
        <v>15</v>
      </c>
    </row>
    <row r="6" spans="2:17" ht="29.5" customHeight="1" x14ac:dyDescent="0.3">
      <c r="B6" s="4" t="s">
        <v>3</v>
      </c>
      <c r="C6" s="17" t="str">
        <f>'Step 3'!D6</f>
        <v>1. Information discovery &amp; retrieval</v>
      </c>
      <c r="D6" s="17" t="str">
        <f>'Step 3'!E6</f>
        <v>2. Extraction &amp; structuring</v>
      </c>
      <c r="E6" s="17" t="str">
        <f>'Step 3'!F6</f>
        <v>3. Normalization, reconciliation &amp; integration</v>
      </c>
      <c r="F6" s="17" t="str">
        <f>'Step 3'!G6</f>
        <v>4. Deterministic execution &amp; transaction processing</v>
      </c>
      <c r="G6" s="17" t="str">
        <f>'Step 3'!H6</f>
        <v>5. Structured triage &amp; decision support</v>
      </c>
      <c r="H6" s="17" t="str">
        <f>'Step 3'!I6</f>
        <v>6. Authority-bearing judgment &amp; decisioning</v>
      </c>
      <c r="I6" s="17" t="str">
        <f>'Step 3'!J6</f>
        <v>7. Drafting, synthesis &amp; artifact assembly</v>
      </c>
      <c r="J6" s="17" t="str">
        <f>'Step 3'!K6</f>
        <v>8. Stakeholder interaction &amp; influence</v>
      </c>
      <c r="K6" s="17" t="str">
        <f>'Step 3'!L6</f>
        <v>9. Workflow orchestration &amp; exception resolution</v>
      </c>
      <c r="L6" s="17" t="str">
        <f>'Step 3'!M6</f>
        <v>10. Assurance, compliance &amp; traceability</v>
      </c>
      <c r="M6" s="17" t="str">
        <f>'Step 3'!N6</f>
        <v>11. Physical execution - Structured / Predictable</v>
      </c>
      <c r="N6" s="17" t="str">
        <f>'Step 3'!O6</f>
        <v>12. Physical execution - Variable/unstructured</v>
      </c>
      <c r="O6" s="4"/>
      <c r="P6" s="4"/>
      <c r="Q6" s="4"/>
    </row>
    <row r="7" spans="2:17" x14ac:dyDescent="0.15">
      <c r="B7" s="14" t="str" cm="1">
        <f t="array" ref="B7:B12">TRANSPOSE(Sheet5!B1:G1)</f>
        <v>Today Low</v>
      </c>
      <c r="C7" s="20" cm="1">
        <f t="array" ref="C7:N12">TRANSPOSE(Sheet5!B2:G13)</f>
        <v>0.4</v>
      </c>
      <c r="D7" s="20">
        <v>0.45</v>
      </c>
      <c r="E7" s="20">
        <v>0.25</v>
      </c>
      <c r="F7" s="20">
        <v>0.4</v>
      </c>
      <c r="G7" s="20">
        <v>0.4</v>
      </c>
      <c r="H7" s="20">
        <v>0.1</v>
      </c>
      <c r="I7" s="20">
        <v>0.4</v>
      </c>
      <c r="J7" s="20">
        <v>0.1</v>
      </c>
      <c r="K7" s="20">
        <v>0.15</v>
      </c>
      <c r="L7" s="20">
        <v>0.2</v>
      </c>
      <c r="M7" s="20">
        <v>0.45</v>
      </c>
      <c r="N7" s="20">
        <v>0.05</v>
      </c>
      <c r="P7" s="18"/>
      <c r="Q7" s="18"/>
    </row>
    <row r="8" spans="2:17" x14ac:dyDescent="0.15">
      <c r="B8" s="14" t="str">
        <v>Today High</v>
      </c>
      <c r="C8" s="20">
        <v>0.65</v>
      </c>
      <c r="D8" s="20">
        <v>0.75</v>
      </c>
      <c r="E8" s="20">
        <v>0.55000000000000004</v>
      </c>
      <c r="F8" s="20">
        <v>0.7</v>
      </c>
      <c r="G8" s="20">
        <v>0.7</v>
      </c>
      <c r="H8" s="20">
        <v>0.25</v>
      </c>
      <c r="I8" s="20">
        <v>0.7</v>
      </c>
      <c r="J8" s="20">
        <v>0.45</v>
      </c>
      <c r="K8" s="20">
        <v>0.4</v>
      </c>
      <c r="L8" s="20">
        <v>0.45</v>
      </c>
      <c r="M8" s="20">
        <v>0.75</v>
      </c>
      <c r="N8" s="20">
        <v>0.15</v>
      </c>
      <c r="P8" s="18"/>
      <c r="Q8" s="18"/>
    </row>
    <row r="9" spans="2:17" x14ac:dyDescent="0.15">
      <c r="B9" s="14" t="str">
        <v>2–3y Low</v>
      </c>
      <c r="C9" s="20">
        <v>0.6</v>
      </c>
      <c r="D9" s="20">
        <v>0.65</v>
      </c>
      <c r="E9" s="20">
        <v>0.45</v>
      </c>
      <c r="F9" s="20">
        <v>0.55000000000000004</v>
      </c>
      <c r="G9" s="20">
        <v>0.55000000000000004</v>
      </c>
      <c r="H9" s="20">
        <v>0.2</v>
      </c>
      <c r="I9" s="20">
        <v>0.6</v>
      </c>
      <c r="J9" s="20">
        <v>0.2</v>
      </c>
      <c r="K9" s="20">
        <v>0.35</v>
      </c>
      <c r="L9" s="20">
        <v>0.3</v>
      </c>
      <c r="M9" s="20">
        <v>0.6</v>
      </c>
      <c r="N9" s="20">
        <v>0.1</v>
      </c>
      <c r="P9" s="18"/>
      <c r="Q9" s="18"/>
    </row>
    <row r="10" spans="2:17" x14ac:dyDescent="0.15">
      <c r="B10" s="14" t="str">
        <v>2–3y High</v>
      </c>
      <c r="C10" s="20">
        <v>0.85</v>
      </c>
      <c r="D10" s="20">
        <v>0.9</v>
      </c>
      <c r="E10" s="20">
        <v>0.75</v>
      </c>
      <c r="F10" s="20">
        <v>0.85</v>
      </c>
      <c r="G10" s="20">
        <v>0.85</v>
      </c>
      <c r="H10" s="20">
        <v>0.45</v>
      </c>
      <c r="I10" s="20">
        <v>0.85</v>
      </c>
      <c r="J10" s="20">
        <v>0.6</v>
      </c>
      <c r="K10" s="20">
        <v>0.65</v>
      </c>
      <c r="L10" s="20">
        <v>0.6</v>
      </c>
      <c r="M10" s="20">
        <v>0.85</v>
      </c>
      <c r="N10" s="20">
        <v>0.25</v>
      </c>
      <c r="P10" s="18"/>
      <c r="Q10" s="18"/>
    </row>
    <row r="11" spans="2:17" x14ac:dyDescent="0.15">
      <c r="B11" s="14" t="str">
        <v>5–10y Low</v>
      </c>
      <c r="C11" s="20">
        <v>0.75</v>
      </c>
      <c r="D11" s="20">
        <v>0.8</v>
      </c>
      <c r="E11" s="20">
        <v>0.6</v>
      </c>
      <c r="F11" s="20">
        <v>0.75</v>
      </c>
      <c r="G11" s="20">
        <v>0.7</v>
      </c>
      <c r="H11" s="20">
        <v>0.35</v>
      </c>
      <c r="I11" s="20">
        <v>0.75</v>
      </c>
      <c r="J11" s="20">
        <v>0.35</v>
      </c>
      <c r="K11" s="20">
        <v>0.55000000000000004</v>
      </c>
      <c r="L11" s="20">
        <v>0.45</v>
      </c>
      <c r="M11" s="20">
        <v>0.75</v>
      </c>
      <c r="N11" s="20">
        <v>0.2</v>
      </c>
      <c r="P11" s="18"/>
      <c r="Q11" s="18"/>
    </row>
    <row r="12" spans="2:17" x14ac:dyDescent="0.15">
      <c r="B12" s="14" t="str">
        <v>5–10y High</v>
      </c>
      <c r="C12" s="20">
        <v>0.95</v>
      </c>
      <c r="D12" s="20">
        <v>0.97</v>
      </c>
      <c r="E12" s="20">
        <v>0.9</v>
      </c>
      <c r="F12" s="20">
        <v>0.95</v>
      </c>
      <c r="G12" s="20">
        <v>0.95</v>
      </c>
      <c r="H12" s="20">
        <v>0.65</v>
      </c>
      <c r="I12" s="20">
        <v>0.95</v>
      </c>
      <c r="J12" s="20">
        <v>0.8</v>
      </c>
      <c r="K12" s="20">
        <v>0.85</v>
      </c>
      <c r="L12" s="20">
        <v>0.75</v>
      </c>
      <c r="M12" s="20">
        <v>0.95</v>
      </c>
      <c r="N12" s="20">
        <v>0.45</v>
      </c>
      <c r="P12" s="18"/>
      <c r="Q12" s="18"/>
    </row>
    <row r="13" spans="2:17" x14ac:dyDescent="0.15">
      <c r="B13" s="14"/>
      <c r="C13" s="16"/>
      <c r="D13" s="6"/>
      <c r="E13" s="6"/>
      <c r="F13" s="6"/>
      <c r="G13" s="6"/>
      <c r="H13" s="6"/>
      <c r="I13" s="6"/>
      <c r="J13" s="6"/>
      <c r="K13" s="6"/>
      <c r="L13" s="6"/>
      <c r="M13" s="6"/>
      <c r="N13" s="6"/>
      <c r="P13" s="18"/>
      <c r="Q13" s="18"/>
    </row>
    <row r="14" spans="2:17" x14ac:dyDescent="0.15">
      <c r="B14" s="14"/>
      <c r="C14" s="16"/>
      <c r="D14" s="6"/>
      <c r="E14" s="6"/>
      <c r="F14" s="6"/>
      <c r="G14" s="6"/>
      <c r="H14" s="6"/>
      <c r="I14" s="6"/>
      <c r="J14" s="6"/>
      <c r="K14" s="6"/>
      <c r="L14" s="6"/>
      <c r="M14" s="6"/>
      <c r="N14" s="6"/>
      <c r="P14" s="18"/>
      <c r="Q14" s="18"/>
    </row>
    <row r="15" spans="2:17" x14ac:dyDescent="0.15">
      <c r="B15" s="14"/>
      <c r="C15" s="16"/>
      <c r="D15" s="6"/>
      <c r="E15" s="6"/>
      <c r="F15" s="6"/>
      <c r="G15" s="6"/>
      <c r="H15" s="6"/>
      <c r="I15" s="6"/>
      <c r="J15" s="6"/>
      <c r="K15" s="6"/>
      <c r="L15" s="6"/>
      <c r="M15" s="6"/>
      <c r="N15" s="6"/>
      <c r="P15" s="18"/>
      <c r="Q15" s="18"/>
    </row>
    <row r="16" spans="2:17" x14ac:dyDescent="0.15">
      <c r="B16" s="14"/>
      <c r="C16" s="16"/>
      <c r="D16" s="6"/>
      <c r="E16" s="6"/>
      <c r="F16" s="6"/>
      <c r="G16" s="6"/>
      <c r="H16" s="6"/>
      <c r="I16" s="6"/>
      <c r="J16" s="6"/>
      <c r="K16" s="6"/>
      <c r="L16" s="6"/>
      <c r="M16" s="6"/>
      <c r="N16" s="6"/>
      <c r="P16" s="18"/>
      <c r="Q16" s="18"/>
    </row>
    <row r="17" spans="2:17" x14ac:dyDescent="0.15">
      <c r="B17" s="14"/>
      <c r="C17" s="16"/>
      <c r="D17" s="6"/>
      <c r="E17" s="6"/>
      <c r="F17" s="6"/>
      <c r="G17" s="6"/>
      <c r="H17" s="6"/>
      <c r="I17" s="6"/>
      <c r="J17" s="6"/>
      <c r="K17" s="6"/>
      <c r="L17" s="6"/>
      <c r="M17" s="6"/>
      <c r="N17" s="6"/>
      <c r="P17" s="18"/>
      <c r="Q17" s="18"/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934178E-90C5-436E-957E-8832BEB865EC}">
  <dimension ref="B2:S21"/>
  <sheetViews>
    <sheetView zoomScale="72" workbookViewId="0">
      <selection activeCell="H11" sqref="H11"/>
    </sheetView>
  </sheetViews>
  <sheetFormatPr baseColWidth="10" defaultColWidth="8.6640625" defaultRowHeight="11" x14ac:dyDescent="0.15"/>
  <cols>
    <col min="1" max="1" width="2.33203125" style="1" customWidth="1"/>
    <col min="2" max="2" width="9.5" style="1" customWidth="1"/>
    <col min="3" max="4" width="21.1640625" style="1" customWidth="1"/>
    <col min="5" max="6" width="15.33203125" style="1" customWidth="1"/>
    <col min="7" max="7" width="1.6640625" style="1" customWidth="1"/>
    <col min="8" max="19" width="14.83203125" style="1" customWidth="1"/>
    <col min="20" max="16384" width="8.6640625" style="1"/>
  </cols>
  <sheetData>
    <row r="2" spans="2:19" ht="13" x14ac:dyDescent="0.15">
      <c r="B2" s="2" t="s">
        <v>0</v>
      </c>
    </row>
    <row r="3" spans="2:19" x14ac:dyDescent="0.15">
      <c r="B3" s="7" t="s">
        <v>2</v>
      </c>
    </row>
    <row r="5" spans="2:19" x14ac:dyDescent="0.15">
      <c r="B5" s="3" t="s">
        <v>110</v>
      </c>
      <c r="F5" s="1" t="s">
        <v>115</v>
      </c>
      <c r="H5" s="5">
        <f>1-_xlfn.XLOOKUP($C$21,'Appendix A'!$B:$B,'Appendix A'!C:C,"ERR",0)</f>
        <v>0.6</v>
      </c>
      <c r="I5" s="5">
        <f>1-_xlfn.XLOOKUP($C$21,'Appendix A'!$B:$B,'Appendix A'!D:D,"ERR",0)</f>
        <v>0.55000000000000004</v>
      </c>
      <c r="J5" s="5">
        <f>1-_xlfn.XLOOKUP($C$21,'Appendix A'!$B:$B,'Appendix A'!E:E,"ERR",0)</f>
        <v>0.75</v>
      </c>
      <c r="K5" s="5">
        <f>1-_xlfn.XLOOKUP($C$21,'Appendix A'!$B:$B,'Appendix A'!F:F,"ERR",0)</f>
        <v>0.6</v>
      </c>
      <c r="L5" s="5">
        <f>1-_xlfn.XLOOKUP($C$21,'Appendix A'!$B:$B,'Appendix A'!G:G,"ERR",0)</f>
        <v>0.6</v>
      </c>
      <c r="M5" s="5">
        <f>1-_xlfn.XLOOKUP($C$21,'Appendix A'!$B:$B,'Appendix A'!H:H,"ERR",0)</f>
        <v>0.9</v>
      </c>
      <c r="N5" s="5">
        <f>1-_xlfn.XLOOKUP($C$21,'Appendix A'!$B:$B,'Appendix A'!I:I,"ERR",0)</f>
        <v>0.6</v>
      </c>
      <c r="O5" s="5">
        <f>1-_xlfn.XLOOKUP($C$21,'Appendix A'!$B:$B,'Appendix A'!J:J,"ERR",0)</f>
        <v>0.9</v>
      </c>
      <c r="P5" s="5">
        <f>1-_xlfn.XLOOKUP($C$21,'Appendix A'!$B:$B,'Appendix A'!K:K,"ERR",0)</f>
        <v>0.85</v>
      </c>
      <c r="Q5" s="5">
        <f>1-_xlfn.XLOOKUP($C$21,'Appendix A'!$B:$B,'Appendix A'!L:L,"ERR",0)</f>
        <v>0.8</v>
      </c>
      <c r="R5" s="5">
        <f>1-_xlfn.XLOOKUP($C$21,'Appendix A'!$B:$B,'Appendix A'!M:M,"ERR",0)</f>
        <v>0.55000000000000004</v>
      </c>
      <c r="S5" s="5">
        <f>1-_xlfn.XLOOKUP($C$21,'Appendix A'!$B:$B,'Appendix A'!N:N,"ERR",0)</f>
        <v>0.95</v>
      </c>
    </row>
    <row r="6" spans="2:19" ht="32" customHeight="1" x14ac:dyDescent="0.3">
      <c r="B6" s="14" t="s">
        <v>9</v>
      </c>
      <c r="C6" s="4" t="s">
        <v>11</v>
      </c>
      <c r="D6" s="4" t="s">
        <v>111</v>
      </c>
      <c r="E6" s="4" t="s">
        <v>4</v>
      </c>
      <c r="F6" s="4" t="s">
        <v>5</v>
      </c>
      <c r="H6" s="24" t="str">
        <f>'Appendix A'!C6</f>
        <v>1. Information discovery &amp; retrieval</v>
      </c>
      <c r="I6" s="24" t="str">
        <f>'Appendix A'!D6</f>
        <v>2. Extraction &amp; structuring</v>
      </c>
      <c r="J6" s="24" t="str">
        <f>'Appendix A'!E6</f>
        <v>3. Normalization, reconciliation &amp; integration</v>
      </c>
      <c r="K6" s="24" t="str">
        <f>'Appendix A'!F6</f>
        <v>4. Deterministic execution &amp; transaction processing</v>
      </c>
      <c r="L6" s="24" t="str">
        <f>'Appendix A'!G6</f>
        <v>5. Structured triage &amp; decision support</v>
      </c>
      <c r="M6" s="24" t="str">
        <f>'Appendix A'!H6</f>
        <v>6. Authority-bearing judgment &amp; decisioning</v>
      </c>
      <c r="N6" s="24" t="str">
        <f>'Appendix A'!I6</f>
        <v>7. Drafting, synthesis &amp; artifact assembly</v>
      </c>
      <c r="O6" s="24" t="str">
        <f>'Appendix A'!J6</f>
        <v>8. Stakeholder interaction &amp; influence</v>
      </c>
      <c r="P6" s="24" t="str">
        <f>'Appendix A'!K6</f>
        <v>9. Workflow orchestration &amp; exception resolution</v>
      </c>
      <c r="Q6" s="24" t="str">
        <f>'Appendix A'!L6</f>
        <v>10. Assurance, compliance &amp; traceability</v>
      </c>
      <c r="R6" s="24" t="str">
        <f>'Appendix A'!M6</f>
        <v>11. Physical execution - Structured / Predictable</v>
      </c>
      <c r="S6" s="24" t="str">
        <f>'Appendix A'!N6</f>
        <v>12. Physical execution - Variable/unstructured</v>
      </c>
    </row>
    <row r="7" spans="2:19" x14ac:dyDescent="0.15">
      <c r="B7" s="14">
        <v>1</v>
      </c>
      <c r="C7" s="23">
        <f>'Step 3'!C7</f>
        <v>0</v>
      </c>
      <c r="D7" s="8">
        <v>0</v>
      </c>
      <c r="E7" s="7" t="s">
        <v>7</v>
      </c>
      <c r="F7" s="7" t="s">
        <v>6</v>
      </c>
      <c r="H7" s="5">
        <f>H$5*'Step 3'!D7</f>
        <v>0</v>
      </c>
      <c r="I7" s="5">
        <f>I$5*'Step 3'!E7</f>
        <v>0</v>
      </c>
      <c r="J7" s="5">
        <f>J$5*'Step 3'!F7</f>
        <v>0</v>
      </c>
      <c r="K7" s="5">
        <f>K$5*'Step 3'!G7</f>
        <v>0</v>
      </c>
      <c r="L7" s="5">
        <f>L$5*'Step 3'!H7</f>
        <v>0</v>
      </c>
      <c r="M7" s="5">
        <f>M$5*'Step 3'!I7</f>
        <v>0</v>
      </c>
      <c r="N7" s="5">
        <f>N$5*'Step 3'!J7</f>
        <v>0</v>
      </c>
      <c r="O7" s="5">
        <f>O$5*'Step 3'!K7</f>
        <v>0</v>
      </c>
      <c r="P7" s="5">
        <f>P$5*'Step 3'!L7</f>
        <v>0</v>
      </c>
      <c r="Q7" s="5">
        <f>Q$5*'Step 3'!M7</f>
        <v>0</v>
      </c>
      <c r="R7" s="5">
        <f>R$5*'Step 3'!N7</f>
        <v>0</v>
      </c>
      <c r="S7" s="5">
        <f>S$5*'Step 3'!O7</f>
        <v>0</v>
      </c>
    </row>
    <row r="8" spans="2:19" x14ac:dyDescent="0.15">
      <c r="B8" s="14">
        <v>2</v>
      </c>
      <c r="C8" s="23">
        <f>'Step 3'!C8</f>
        <v>0</v>
      </c>
      <c r="D8" s="8">
        <v>0</v>
      </c>
      <c r="E8" s="7" t="s">
        <v>7</v>
      </c>
      <c r="F8" s="7" t="s">
        <v>6</v>
      </c>
      <c r="H8" s="5">
        <f>H$5*'Step 3'!D8</f>
        <v>0</v>
      </c>
      <c r="I8" s="5">
        <f>I$5*'Step 3'!E8</f>
        <v>0</v>
      </c>
      <c r="J8" s="5">
        <f>J$5*'Step 3'!F8</f>
        <v>0</v>
      </c>
      <c r="K8" s="5">
        <f>K$5*'Step 3'!G8</f>
        <v>0</v>
      </c>
      <c r="L8" s="5">
        <f>L$5*'Step 3'!H8</f>
        <v>0</v>
      </c>
      <c r="M8" s="5">
        <f>M$5*'Step 3'!I8</f>
        <v>0</v>
      </c>
      <c r="N8" s="5">
        <f>N$5*'Step 3'!J8</f>
        <v>0</v>
      </c>
      <c r="O8" s="5">
        <f>O$5*'Step 3'!K8</f>
        <v>0</v>
      </c>
      <c r="P8" s="5">
        <f>P$5*'Step 3'!L8</f>
        <v>0</v>
      </c>
      <c r="Q8" s="5">
        <f>Q$5*'Step 3'!M8</f>
        <v>0</v>
      </c>
      <c r="R8" s="5">
        <f>R$5*'Step 3'!N8</f>
        <v>0</v>
      </c>
      <c r="S8" s="5">
        <f>S$5*'Step 3'!O8</f>
        <v>0</v>
      </c>
    </row>
    <row r="9" spans="2:19" x14ac:dyDescent="0.15">
      <c r="B9" s="14">
        <v>3</v>
      </c>
      <c r="C9" s="23">
        <f>'Step 3'!C9</f>
        <v>0</v>
      </c>
      <c r="D9" s="8">
        <v>0</v>
      </c>
      <c r="E9" s="7" t="s">
        <v>7</v>
      </c>
      <c r="F9" s="7" t="s">
        <v>6</v>
      </c>
      <c r="H9" s="5">
        <f>H$5*'Step 3'!D9</f>
        <v>0</v>
      </c>
      <c r="I9" s="5">
        <f>I$5*'Step 3'!E9</f>
        <v>0</v>
      </c>
      <c r="J9" s="5">
        <f>J$5*'Step 3'!F9</f>
        <v>0</v>
      </c>
      <c r="K9" s="5">
        <f>K$5*'Step 3'!G9</f>
        <v>0</v>
      </c>
      <c r="L9" s="5">
        <f>L$5*'Step 3'!H9</f>
        <v>0</v>
      </c>
      <c r="M9" s="5">
        <f>M$5*'Step 3'!I9</f>
        <v>0</v>
      </c>
      <c r="N9" s="5">
        <f>N$5*'Step 3'!J9</f>
        <v>0</v>
      </c>
      <c r="O9" s="5">
        <f>O$5*'Step 3'!K9</f>
        <v>0</v>
      </c>
      <c r="P9" s="5">
        <f>P$5*'Step 3'!L9</f>
        <v>0</v>
      </c>
      <c r="Q9" s="5">
        <f>Q$5*'Step 3'!M9</f>
        <v>0</v>
      </c>
      <c r="R9" s="5">
        <f>R$5*'Step 3'!N9</f>
        <v>0</v>
      </c>
      <c r="S9" s="5">
        <f>S$5*'Step 3'!O9</f>
        <v>0</v>
      </c>
    </row>
    <row r="10" spans="2:19" x14ac:dyDescent="0.15">
      <c r="B10" s="14">
        <f>B9+1</f>
        <v>4</v>
      </c>
      <c r="C10" s="23">
        <f>'Step 3'!C10</f>
        <v>0</v>
      </c>
      <c r="D10" s="8">
        <v>0</v>
      </c>
      <c r="E10" s="7" t="s">
        <v>7</v>
      </c>
      <c r="F10" s="7" t="s">
        <v>6</v>
      </c>
      <c r="H10" s="5">
        <f>H$5*'Step 3'!D10</f>
        <v>0</v>
      </c>
      <c r="I10" s="5">
        <f>I$5*'Step 3'!E10</f>
        <v>0</v>
      </c>
      <c r="J10" s="5">
        <f>J$5*'Step 3'!F10</f>
        <v>0</v>
      </c>
      <c r="K10" s="5">
        <f>K$5*'Step 3'!G10</f>
        <v>0</v>
      </c>
      <c r="L10" s="5">
        <f>L$5*'Step 3'!H10</f>
        <v>0</v>
      </c>
      <c r="M10" s="5">
        <f>M$5*'Step 3'!I10</f>
        <v>0</v>
      </c>
      <c r="N10" s="5">
        <f>N$5*'Step 3'!J10</f>
        <v>0</v>
      </c>
      <c r="O10" s="5">
        <f>O$5*'Step 3'!K10</f>
        <v>0</v>
      </c>
      <c r="P10" s="5">
        <f>P$5*'Step 3'!L10</f>
        <v>0</v>
      </c>
      <c r="Q10" s="5">
        <f>Q$5*'Step 3'!M10</f>
        <v>0</v>
      </c>
      <c r="R10" s="5">
        <f>R$5*'Step 3'!N10</f>
        <v>0</v>
      </c>
      <c r="S10" s="5">
        <f>S$5*'Step 3'!O10</f>
        <v>0</v>
      </c>
    </row>
    <row r="11" spans="2:19" x14ac:dyDescent="0.15">
      <c r="B11" s="14">
        <f t="shared" ref="B11:B18" si="0">B10+1</f>
        <v>5</v>
      </c>
      <c r="C11" s="23">
        <f>'Step 3'!C11</f>
        <v>0</v>
      </c>
      <c r="D11" s="8">
        <v>0</v>
      </c>
      <c r="E11" s="7" t="s">
        <v>7</v>
      </c>
      <c r="F11" s="7" t="s">
        <v>6</v>
      </c>
      <c r="H11" s="5">
        <f>H$5*'Step 3'!D11</f>
        <v>0</v>
      </c>
      <c r="I11" s="5">
        <f>I$5*'Step 3'!E11</f>
        <v>0</v>
      </c>
      <c r="J11" s="5">
        <f>J$5*'Step 3'!F11</f>
        <v>0</v>
      </c>
      <c r="K11" s="5">
        <f>K$5*'Step 3'!G11</f>
        <v>0</v>
      </c>
      <c r="L11" s="5">
        <f>L$5*'Step 3'!H11</f>
        <v>0</v>
      </c>
      <c r="M11" s="5">
        <f>M$5*'Step 3'!I11</f>
        <v>0</v>
      </c>
      <c r="N11" s="5">
        <f>N$5*'Step 3'!J11</f>
        <v>0</v>
      </c>
      <c r="O11" s="5">
        <f>O$5*'Step 3'!K11</f>
        <v>0</v>
      </c>
      <c r="P11" s="5">
        <f>P$5*'Step 3'!L11</f>
        <v>0</v>
      </c>
      <c r="Q11" s="5">
        <f>Q$5*'Step 3'!M11</f>
        <v>0</v>
      </c>
      <c r="R11" s="5">
        <f>R$5*'Step 3'!N11</f>
        <v>0</v>
      </c>
      <c r="S11" s="5">
        <f>S$5*'Step 3'!O11</f>
        <v>0</v>
      </c>
    </row>
    <row r="12" spans="2:19" x14ac:dyDescent="0.15">
      <c r="B12" s="14">
        <f t="shared" si="0"/>
        <v>6</v>
      </c>
      <c r="C12" s="23">
        <f>'Step 3'!C12</f>
        <v>0</v>
      </c>
      <c r="D12" s="8">
        <v>0</v>
      </c>
      <c r="E12" s="7" t="s">
        <v>7</v>
      </c>
      <c r="F12" s="7" t="s">
        <v>6</v>
      </c>
      <c r="H12" s="5">
        <f>H$5*'Step 3'!D12</f>
        <v>0</v>
      </c>
      <c r="I12" s="5">
        <f>I$5*'Step 3'!E12</f>
        <v>0</v>
      </c>
      <c r="J12" s="5">
        <f>J$5*'Step 3'!F12</f>
        <v>0</v>
      </c>
      <c r="K12" s="5">
        <f>K$5*'Step 3'!G12</f>
        <v>0</v>
      </c>
      <c r="L12" s="5">
        <f>L$5*'Step 3'!H12</f>
        <v>0</v>
      </c>
      <c r="M12" s="5">
        <f>M$5*'Step 3'!I12</f>
        <v>0</v>
      </c>
      <c r="N12" s="5">
        <f>N$5*'Step 3'!J12</f>
        <v>0</v>
      </c>
      <c r="O12" s="5">
        <f>O$5*'Step 3'!K12</f>
        <v>0</v>
      </c>
      <c r="P12" s="5">
        <f>P$5*'Step 3'!L12</f>
        <v>0</v>
      </c>
      <c r="Q12" s="5">
        <f>Q$5*'Step 3'!M12</f>
        <v>0</v>
      </c>
      <c r="R12" s="5">
        <f>R$5*'Step 3'!N12</f>
        <v>0</v>
      </c>
      <c r="S12" s="5">
        <f>S$5*'Step 3'!O12</f>
        <v>0</v>
      </c>
    </row>
    <row r="13" spans="2:19" x14ac:dyDescent="0.15">
      <c r="B13" s="14">
        <f t="shared" si="0"/>
        <v>7</v>
      </c>
      <c r="C13" s="23">
        <f>'Step 3'!C13</f>
        <v>0</v>
      </c>
      <c r="D13" s="8">
        <v>0</v>
      </c>
      <c r="E13" s="7" t="s">
        <v>7</v>
      </c>
      <c r="F13" s="7" t="s">
        <v>6</v>
      </c>
      <c r="H13" s="5">
        <f>H$5*'Step 3'!D13</f>
        <v>0</v>
      </c>
      <c r="I13" s="5">
        <f>I$5*'Step 3'!E13</f>
        <v>0</v>
      </c>
      <c r="J13" s="5">
        <f>J$5*'Step 3'!F13</f>
        <v>0</v>
      </c>
      <c r="K13" s="5">
        <f>K$5*'Step 3'!G13</f>
        <v>0</v>
      </c>
      <c r="L13" s="5">
        <f>L$5*'Step 3'!H13</f>
        <v>0</v>
      </c>
      <c r="M13" s="5">
        <f>M$5*'Step 3'!I13</f>
        <v>0</v>
      </c>
      <c r="N13" s="5">
        <f>N$5*'Step 3'!J13</f>
        <v>0</v>
      </c>
      <c r="O13" s="5">
        <f>O$5*'Step 3'!K13</f>
        <v>0</v>
      </c>
      <c r="P13" s="5">
        <f>P$5*'Step 3'!L13</f>
        <v>0</v>
      </c>
      <c r="Q13" s="5">
        <f>Q$5*'Step 3'!M13</f>
        <v>0</v>
      </c>
      <c r="R13" s="5">
        <f>R$5*'Step 3'!N13</f>
        <v>0</v>
      </c>
      <c r="S13" s="5">
        <f>S$5*'Step 3'!O13</f>
        <v>0</v>
      </c>
    </row>
    <row r="14" spans="2:19" x14ac:dyDescent="0.15">
      <c r="B14" s="14">
        <f t="shared" si="0"/>
        <v>8</v>
      </c>
      <c r="C14" s="23">
        <f>'Step 3'!C14</f>
        <v>0</v>
      </c>
      <c r="D14" s="8">
        <v>0</v>
      </c>
      <c r="E14" s="7" t="s">
        <v>7</v>
      </c>
      <c r="F14" s="7" t="s">
        <v>6</v>
      </c>
      <c r="H14" s="5">
        <f>H$5*'Step 3'!D14</f>
        <v>0</v>
      </c>
      <c r="I14" s="5">
        <f>I$5*'Step 3'!E14</f>
        <v>0</v>
      </c>
      <c r="J14" s="5">
        <f>J$5*'Step 3'!F14</f>
        <v>0</v>
      </c>
      <c r="K14" s="5">
        <f>K$5*'Step 3'!G14</f>
        <v>0</v>
      </c>
      <c r="L14" s="5">
        <f>L$5*'Step 3'!H14</f>
        <v>0</v>
      </c>
      <c r="M14" s="5">
        <f>M$5*'Step 3'!I14</f>
        <v>0</v>
      </c>
      <c r="N14" s="5">
        <f>N$5*'Step 3'!J14</f>
        <v>0</v>
      </c>
      <c r="O14" s="5">
        <f>O$5*'Step 3'!K14</f>
        <v>0</v>
      </c>
      <c r="P14" s="5">
        <f>P$5*'Step 3'!L14</f>
        <v>0</v>
      </c>
      <c r="Q14" s="5">
        <f>Q$5*'Step 3'!M14</f>
        <v>0</v>
      </c>
      <c r="R14" s="5">
        <f>R$5*'Step 3'!N14</f>
        <v>0</v>
      </c>
      <c r="S14" s="5">
        <f>S$5*'Step 3'!O14</f>
        <v>0</v>
      </c>
    </row>
    <row r="15" spans="2:19" x14ac:dyDescent="0.15">
      <c r="B15" s="14">
        <f t="shared" si="0"/>
        <v>9</v>
      </c>
      <c r="C15" s="23">
        <f>'Step 3'!C15</f>
        <v>0</v>
      </c>
      <c r="D15" s="8">
        <v>0</v>
      </c>
      <c r="E15" s="7" t="s">
        <v>7</v>
      </c>
      <c r="F15" s="7" t="s">
        <v>6</v>
      </c>
      <c r="H15" s="5">
        <f>H$5*'Step 3'!D15</f>
        <v>0</v>
      </c>
      <c r="I15" s="5">
        <f>I$5*'Step 3'!E15</f>
        <v>0</v>
      </c>
      <c r="J15" s="5">
        <f>J$5*'Step 3'!F15</f>
        <v>0</v>
      </c>
      <c r="K15" s="5">
        <f>K$5*'Step 3'!G15</f>
        <v>0</v>
      </c>
      <c r="L15" s="5">
        <f>L$5*'Step 3'!H15</f>
        <v>0</v>
      </c>
      <c r="M15" s="5">
        <f>M$5*'Step 3'!I15</f>
        <v>0</v>
      </c>
      <c r="N15" s="5">
        <f>N$5*'Step 3'!J15</f>
        <v>0</v>
      </c>
      <c r="O15" s="5">
        <f>O$5*'Step 3'!K15</f>
        <v>0</v>
      </c>
      <c r="P15" s="5">
        <f>P$5*'Step 3'!L15</f>
        <v>0</v>
      </c>
      <c r="Q15" s="5">
        <f>Q$5*'Step 3'!M15</f>
        <v>0</v>
      </c>
      <c r="R15" s="5">
        <f>R$5*'Step 3'!N15</f>
        <v>0</v>
      </c>
      <c r="S15" s="5">
        <f>S$5*'Step 3'!O15</f>
        <v>0</v>
      </c>
    </row>
    <row r="16" spans="2:19" x14ac:dyDescent="0.15">
      <c r="B16" s="14">
        <f t="shared" si="0"/>
        <v>10</v>
      </c>
      <c r="C16" s="23">
        <f>'Step 3'!C16</f>
        <v>0</v>
      </c>
      <c r="D16" s="8">
        <v>0</v>
      </c>
      <c r="E16" s="7" t="s">
        <v>7</v>
      </c>
      <c r="F16" s="7" t="s">
        <v>6</v>
      </c>
      <c r="H16" s="5">
        <f>H$5*'Step 3'!D16</f>
        <v>0</v>
      </c>
      <c r="I16" s="5">
        <f>I$5*'Step 3'!E16</f>
        <v>0</v>
      </c>
      <c r="J16" s="5">
        <f>J$5*'Step 3'!F16</f>
        <v>0</v>
      </c>
      <c r="K16" s="5">
        <f>K$5*'Step 3'!G16</f>
        <v>0</v>
      </c>
      <c r="L16" s="5">
        <f>L$5*'Step 3'!H16</f>
        <v>0</v>
      </c>
      <c r="M16" s="5">
        <f>M$5*'Step 3'!I16</f>
        <v>0</v>
      </c>
      <c r="N16" s="5">
        <f>N$5*'Step 3'!J16</f>
        <v>0</v>
      </c>
      <c r="O16" s="5">
        <f>O$5*'Step 3'!K16</f>
        <v>0</v>
      </c>
      <c r="P16" s="5">
        <f>P$5*'Step 3'!L16</f>
        <v>0</v>
      </c>
      <c r="Q16" s="5">
        <f>Q$5*'Step 3'!M16</f>
        <v>0</v>
      </c>
      <c r="R16" s="5">
        <f>R$5*'Step 3'!N16</f>
        <v>0</v>
      </c>
      <c r="S16" s="5">
        <f>S$5*'Step 3'!O16</f>
        <v>0</v>
      </c>
    </row>
    <row r="17" spans="2:19" x14ac:dyDescent="0.15">
      <c r="B17" s="14">
        <f t="shared" si="0"/>
        <v>11</v>
      </c>
      <c r="C17" s="23">
        <f>'Step 3'!C17</f>
        <v>0</v>
      </c>
      <c r="D17" s="8">
        <v>0</v>
      </c>
      <c r="E17" s="7" t="s">
        <v>7</v>
      </c>
      <c r="F17" s="7" t="s">
        <v>6</v>
      </c>
      <c r="H17" s="5">
        <f>H$5*'Step 3'!D17</f>
        <v>0</v>
      </c>
      <c r="I17" s="5">
        <f>I$5*'Step 3'!E17</f>
        <v>0</v>
      </c>
      <c r="J17" s="5">
        <f>J$5*'Step 3'!F17</f>
        <v>0</v>
      </c>
      <c r="K17" s="5">
        <f>K$5*'Step 3'!G17</f>
        <v>0</v>
      </c>
      <c r="L17" s="5">
        <f>L$5*'Step 3'!H17</f>
        <v>0</v>
      </c>
      <c r="M17" s="5">
        <f>M$5*'Step 3'!I17</f>
        <v>0</v>
      </c>
      <c r="N17" s="5">
        <f>N$5*'Step 3'!J17</f>
        <v>0</v>
      </c>
      <c r="O17" s="5">
        <f>O$5*'Step 3'!K17</f>
        <v>0</v>
      </c>
      <c r="P17" s="5">
        <f>P$5*'Step 3'!L17</f>
        <v>0</v>
      </c>
      <c r="Q17" s="5">
        <f>Q$5*'Step 3'!M17</f>
        <v>0</v>
      </c>
      <c r="R17" s="5">
        <f>R$5*'Step 3'!N17</f>
        <v>0</v>
      </c>
      <c r="S17" s="5">
        <f>S$5*'Step 3'!O17</f>
        <v>0</v>
      </c>
    </row>
    <row r="18" spans="2:19" x14ac:dyDescent="0.15">
      <c r="B18" s="14">
        <f t="shared" si="0"/>
        <v>12</v>
      </c>
      <c r="C18" s="23">
        <f>'Step 3'!C18</f>
        <v>0</v>
      </c>
      <c r="D18" s="8">
        <v>0</v>
      </c>
      <c r="E18" s="7" t="s">
        <v>7</v>
      </c>
      <c r="F18" s="7" t="s">
        <v>6</v>
      </c>
      <c r="H18" s="5">
        <f>H$5*'Step 3'!D18</f>
        <v>0</v>
      </c>
      <c r="I18" s="5">
        <f>I$5*'Step 3'!E18</f>
        <v>0</v>
      </c>
      <c r="J18" s="5">
        <f>J$5*'Step 3'!F18</f>
        <v>0</v>
      </c>
      <c r="K18" s="5">
        <f>K$5*'Step 3'!G18</f>
        <v>0</v>
      </c>
      <c r="L18" s="5">
        <f>L$5*'Step 3'!H18</f>
        <v>0</v>
      </c>
      <c r="M18" s="5">
        <f>M$5*'Step 3'!I18</f>
        <v>0</v>
      </c>
      <c r="N18" s="5">
        <f>N$5*'Step 3'!J18</f>
        <v>0</v>
      </c>
      <c r="O18" s="5">
        <f>O$5*'Step 3'!K18</f>
        <v>0</v>
      </c>
      <c r="P18" s="5">
        <f>P$5*'Step 3'!L18</f>
        <v>0</v>
      </c>
      <c r="Q18" s="5">
        <f>Q$5*'Step 3'!M18</f>
        <v>0</v>
      </c>
      <c r="R18" s="5">
        <f>R$5*'Step 3'!N18</f>
        <v>0</v>
      </c>
      <c r="S18" s="5">
        <f>S$5*'Step 3'!O18</f>
        <v>0</v>
      </c>
    </row>
    <row r="21" spans="2:19" x14ac:dyDescent="0.15">
      <c r="B21" s="1" t="s">
        <v>112</v>
      </c>
      <c r="C21" s="1" t="s">
        <v>38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AF8B769-9AAA-4D63-A405-32C46CFDA8D8}">
          <x14:formula1>
            <xm:f>'Appendix A'!$B$7:$B$12</xm:f>
          </x14:formula1>
          <xm:sqref>C21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DE691CC-5343-4530-A59A-32E9FBAB9B75}">
  <dimension ref="B2:H27"/>
  <sheetViews>
    <sheetView tabSelected="1" topLeftCell="A4" workbookViewId="0">
      <selection activeCell="E18" sqref="E18"/>
    </sheetView>
  </sheetViews>
  <sheetFormatPr baseColWidth="10" defaultColWidth="8.6640625" defaultRowHeight="11" x14ac:dyDescent="0.15"/>
  <cols>
    <col min="1" max="1" width="2.33203125" style="1" customWidth="1"/>
    <col min="2" max="2" width="9.5" style="1" customWidth="1"/>
    <col min="3" max="3" width="21.1640625" style="1" customWidth="1"/>
    <col min="4" max="4" width="15.33203125" style="1" customWidth="1"/>
    <col min="5" max="5" width="19.6640625" style="1" customWidth="1"/>
    <col min="6" max="6" width="1.6640625" style="1" customWidth="1"/>
    <col min="7" max="7" width="19.33203125" style="1" customWidth="1"/>
    <col min="8" max="8" width="17.6640625" style="1" customWidth="1"/>
    <col min="9" max="16384" width="8.6640625" style="1"/>
  </cols>
  <sheetData>
    <row r="2" spans="2:8" ht="13" x14ac:dyDescent="0.15">
      <c r="B2" s="2" t="s">
        <v>0</v>
      </c>
    </row>
    <row r="3" spans="2:8" x14ac:dyDescent="0.15">
      <c r="B3" s="7" t="s">
        <v>2</v>
      </c>
    </row>
    <row r="6" spans="2:8" ht="14" x14ac:dyDescent="0.3">
      <c r="B6" s="3" t="s">
        <v>113</v>
      </c>
      <c r="C6" s="13" t="s">
        <v>11</v>
      </c>
      <c r="D6" s="13" t="s">
        <v>114</v>
      </c>
      <c r="E6" s="13" t="str">
        <f>_xlfn.CONCAT("% of Labor '",'Step 4 Weighted Calc'!C21, "' Case")</f>
        <v>% of Labor 'Today Low' Case</v>
      </c>
      <c r="G6" s="13" t="s">
        <v>116</v>
      </c>
      <c r="H6" s="13" t="s">
        <v>117</v>
      </c>
    </row>
    <row r="7" spans="2:8" x14ac:dyDescent="0.15">
      <c r="B7" s="14">
        <v>1</v>
      </c>
      <c r="C7" s="22">
        <f>'Step 2'!C7</f>
        <v>0</v>
      </c>
      <c r="D7" s="25">
        <f>'Step 4 Weighted Calc'!D7</f>
        <v>0</v>
      </c>
      <c r="E7" s="25">
        <f>'Step 4 Weighted Calc'!D7*SUM('Step 4 Weighted Calc'!H7:S7)</f>
        <v>0</v>
      </c>
      <c r="G7" s="18" t="s">
        <v>6</v>
      </c>
      <c r="H7" s="18" t="s">
        <v>7</v>
      </c>
    </row>
    <row r="8" spans="2:8" x14ac:dyDescent="0.15">
      <c r="B8" s="14">
        <v>2</v>
      </c>
      <c r="C8" s="22">
        <f>'Step 2'!C8</f>
        <v>0</v>
      </c>
      <c r="D8" s="25">
        <f>'Step 4 Weighted Calc'!D8</f>
        <v>0</v>
      </c>
      <c r="E8" s="25">
        <f>'Step 4 Weighted Calc'!D8*SUM('Step 4 Weighted Calc'!H8:S8)</f>
        <v>0</v>
      </c>
      <c r="G8" s="18" t="s">
        <v>6</v>
      </c>
      <c r="H8" s="18" t="s">
        <v>7</v>
      </c>
    </row>
    <row r="9" spans="2:8" x14ac:dyDescent="0.15">
      <c r="B9" s="14">
        <v>3</v>
      </c>
      <c r="C9" s="22">
        <f>'Step 2'!C9</f>
        <v>0</v>
      </c>
      <c r="D9" s="25">
        <f>'Step 4 Weighted Calc'!D9</f>
        <v>0</v>
      </c>
      <c r="E9" s="25">
        <f>'Step 4 Weighted Calc'!D9*SUM('Step 4 Weighted Calc'!H9:S9)</f>
        <v>0</v>
      </c>
      <c r="G9" s="18" t="s">
        <v>6</v>
      </c>
      <c r="H9" s="18" t="s">
        <v>7</v>
      </c>
    </row>
    <row r="10" spans="2:8" x14ac:dyDescent="0.15">
      <c r="B10" s="14">
        <f>B9+1</f>
        <v>4</v>
      </c>
      <c r="C10" s="22">
        <f>'Step 2'!C10</f>
        <v>0</v>
      </c>
      <c r="D10" s="25">
        <f>'Step 4 Weighted Calc'!D10</f>
        <v>0</v>
      </c>
      <c r="E10" s="25">
        <f>'Step 4 Weighted Calc'!D10*SUM('Step 4 Weighted Calc'!H10:S10)</f>
        <v>0</v>
      </c>
      <c r="G10" s="18" t="s">
        <v>6</v>
      </c>
      <c r="H10" s="18" t="s">
        <v>7</v>
      </c>
    </row>
    <row r="11" spans="2:8" x14ac:dyDescent="0.15">
      <c r="B11" s="14">
        <f t="shared" ref="B11:B18" si="0">B10+1</f>
        <v>5</v>
      </c>
      <c r="C11" s="22">
        <f>'Step 2'!C11</f>
        <v>0</v>
      </c>
      <c r="D11" s="25">
        <f>'Step 4 Weighted Calc'!D11</f>
        <v>0</v>
      </c>
      <c r="E11" s="25">
        <f>'Step 4 Weighted Calc'!D11*SUM('Step 4 Weighted Calc'!H11:S11)</f>
        <v>0</v>
      </c>
      <c r="G11" s="18" t="s">
        <v>6</v>
      </c>
      <c r="H11" s="18" t="s">
        <v>7</v>
      </c>
    </row>
    <row r="12" spans="2:8" x14ac:dyDescent="0.15">
      <c r="B12" s="14">
        <f t="shared" si="0"/>
        <v>6</v>
      </c>
      <c r="C12" s="22">
        <f>'Step 2'!C12</f>
        <v>0</v>
      </c>
      <c r="D12" s="25">
        <f>'Step 4 Weighted Calc'!D12</f>
        <v>0</v>
      </c>
      <c r="E12" s="25">
        <f>'Step 4 Weighted Calc'!D12*SUM('Step 4 Weighted Calc'!H12:S12)</f>
        <v>0</v>
      </c>
      <c r="G12" s="18" t="s">
        <v>6</v>
      </c>
      <c r="H12" s="18" t="s">
        <v>7</v>
      </c>
    </row>
    <row r="13" spans="2:8" x14ac:dyDescent="0.15">
      <c r="B13" s="14">
        <f t="shared" si="0"/>
        <v>7</v>
      </c>
      <c r="C13" s="22">
        <f>'Step 2'!C13</f>
        <v>0</v>
      </c>
      <c r="D13" s="25">
        <f>'Step 4 Weighted Calc'!D13</f>
        <v>0</v>
      </c>
      <c r="E13" s="25">
        <f>'Step 4 Weighted Calc'!D13*SUM('Step 4 Weighted Calc'!H13:S13)</f>
        <v>0</v>
      </c>
      <c r="G13" s="18" t="s">
        <v>6</v>
      </c>
      <c r="H13" s="18" t="s">
        <v>7</v>
      </c>
    </row>
    <row r="14" spans="2:8" x14ac:dyDescent="0.15">
      <c r="B14" s="14">
        <f t="shared" si="0"/>
        <v>8</v>
      </c>
      <c r="C14" s="22">
        <f>'Step 2'!C14</f>
        <v>0</v>
      </c>
      <c r="D14" s="25">
        <f>'Step 4 Weighted Calc'!D14</f>
        <v>0</v>
      </c>
      <c r="E14" s="25">
        <f>'Step 4 Weighted Calc'!D14*SUM('Step 4 Weighted Calc'!H14:S14)</f>
        <v>0</v>
      </c>
      <c r="G14" s="18" t="s">
        <v>6</v>
      </c>
      <c r="H14" s="18" t="s">
        <v>7</v>
      </c>
    </row>
    <row r="15" spans="2:8" x14ac:dyDescent="0.15">
      <c r="B15" s="14">
        <f t="shared" si="0"/>
        <v>9</v>
      </c>
      <c r="C15" s="22">
        <f>'Step 2'!C15</f>
        <v>0</v>
      </c>
      <c r="D15" s="25">
        <f>'Step 4 Weighted Calc'!D15</f>
        <v>0</v>
      </c>
      <c r="E15" s="25">
        <f>'Step 4 Weighted Calc'!D15*SUM('Step 4 Weighted Calc'!H15:S15)</f>
        <v>0</v>
      </c>
      <c r="G15" s="18" t="s">
        <v>6</v>
      </c>
      <c r="H15" s="18" t="s">
        <v>7</v>
      </c>
    </row>
    <row r="16" spans="2:8" x14ac:dyDescent="0.15">
      <c r="B16" s="14">
        <f t="shared" si="0"/>
        <v>10</v>
      </c>
      <c r="C16" s="22">
        <f>'Step 2'!C16</f>
        <v>0</v>
      </c>
      <c r="D16" s="25">
        <f>'Step 4 Weighted Calc'!D16</f>
        <v>0</v>
      </c>
      <c r="E16" s="25">
        <f>'Step 4 Weighted Calc'!D16*SUM('Step 4 Weighted Calc'!H16:S16)</f>
        <v>0</v>
      </c>
      <c r="G16" s="18" t="s">
        <v>6</v>
      </c>
      <c r="H16" s="18" t="s">
        <v>7</v>
      </c>
    </row>
    <row r="17" spans="2:8" x14ac:dyDescent="0.15">
      <c r="B17" s="14">
        <f t="shared" si="0"/>
        <v>11</v>
      </c>
      <c r="C17" s="22">
        <f>'Step 2'!C17</f>
        <v>0</v>
      </c>
      <c r="D17" s="25">
        <f>'Step 4 Weighted Calc'!D17</f>
        <v>0</v>
      </c>
      <c r="E17" s="25">
        <f>'Step 4 Weighted Calc'!D17*SUM('Step 4 Weighted Calc'!H17:S17)</f>
        <v>0</v>
      </c>
      <c r="G17" s="18" t="s">
        <v>6</v>
      </c>
      <c r="H17" s="18" t="s">
        <v>7</v>
      </c>
    </row>
    <row r="18" spans="2:8" x14ac:dyDescent="0.15">
      <c r="B18" s="14">
        <f t="shared" si="0"/>
        <v>12</v>
      </c>
      <c r="C18" s="22">
        <f>'Step 2'!C18</f>
        <v>0</v>
      </c>
      <c r="D18" s="25">
        <f>'Step 4 Weighted Calc'!D18</f>
        <v>0</v>
      </c>
      <c r="E18" s="25">
        <f>'Step 4 Weighted Calc'!D18*SUM('Step 4 Weighted Calc'!H18:S18)</f>
        <v>0</v>
      </c>
      <c r="G18" s="18" t="s">
        <v>6</v>
      </c>
      <c r="H18" s="18" t="s">
        <v>7</v>
      </c>
    </row>
    <row r="24" spans="2:8" ht="14" x14ac:dyDescent="0.3">
      <c r="B24" s="3" t="s">
        <v>122</v>
      </c>
      <c r="C24" s="4" t="s">
        <v>118</v>
      </c>
      <c r="D24" s="4" t="s">
        <v>119</v>
      </c>
    </row>
    <row r="25" spans="2:8" x14ac:dyDescent="0.15">
      <c r="C25" s="3" t="s">
        <v>120</v>
      </c>
      <c r="D25" s="26">
        <v>100</v>
      </c>
    </row>
    <row r="26" spans="2:8" x14ac:dyDescent="0.15">
      <c r="C26" s="3" t="str">
        <f>'Step 4 Weighted Calc'!$C$21</f>
        <v>Today Low</v>
      </c>
      <c r="D26" s="27">
        <f>SUM(E7:E21)*D25</f>
        <v>0</v>
      </c>
    </row>
    <row r="27" spans="2:8" x14ac:dyDescent="0.15">
      <c r="C27" s="11" t="s">
        <v>121</v>
      </c>
      <c r="D27" s="28">
        <f>D25-D26</f>
        <v>100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79BF79B-2831-430A-9E0C-CBF400C41427}">
  <dimension ref="A1"/>
  <sheetViews>
    <sheetView workbookViewId="0"/>
  </sheetViews>
  <sheetFormatPr baseColWidth="10" defaultColWidth="8.83203125" defaultRowHeight="15" x14ac:dyDescent="0.2"/>
  <sheetData/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A29453-1950-4E33-A2D2-72D89AD41B8B}">
  <dimension ref="A1:K15"/>
  <sheetViews>
    <sheetView workbookViewId="0">
      <selection activeCell="B2" sqref="B2:G13"/>
    </sheetView>
  </sheetViews>
  <sheetFormatPr baseColWidth="10" defaultColWidth="8.83203125" defaultRowHeight="15" x14ac:dyDescent="0.2"/>
  <sheetData>
    <row r="1" spans="1:11" x14ac:dyDescent="0.2">
      <c r="A1" s="19" t="s">
        <v>37</v>
      </c>
      <c r="B1" s="19" t="s">
        <v>38</v>
      </c>
      <c r="C1" s="19" t="s">
        <v>39</v>
      </c>
      <c r="D1" s="19" t="s">
        <v>40</v>
      </c>
      <c r="E1" s="19" t="s">
        <v>41</v>
      </c>
      <c r="F1" s="19" t="s">
        <v>42</v>
      </c>
      <c r="G1" s="19" t="s">
        <v>43</v>
      </c>
      <c r="H1" s="19" t="s">
        <v>44</v>
      </c>
      <c r="I1" s="19" t="s">
        <v>45</v>
      </c>
      <c r="J1" s="19" t="s">
        <v>46</v>
      </c>
      <c r="K1" s="19" t="s">
        <v>47</v>
      </c>
    </row>
    <row r="2" spans="1:11" x14ac:dyDescent="0.2">
      <c r="A2" t="s">
        <v>48</v>
      </c>
      <c r="B2">
        <v>0.4</v>
      </c>
      <c r="C2">
        <v>0.65</v>
      </c>
      <c r="D2">
        <v>0.6</v>
      </c>
      <c r="E2">
        <v>0.85</v>
      </c>
      <c r="F2">
        <v>0.75</v>
      </c>
      <c r="G2">
        <v>0.95</v>
      </c>
      <c r="H2" t="s">
        <v>49</v>
      </c>
      <c r="I2" t="s">
        <v>50</v>
      </c>
      <c r="J2" t="s">
        <v>51</v>
      </c>
      <c r="K2" t="s">
        <v>52</v>
      </c>
    </row>
    <row r="3" spans="1:11" x14ac:dyDescent="0.2">
      <c r="A3" t="s">
        <v>53</v>
      </c>
      <c r="B3">
        <v>0.45</v>
      </c>
      <c r="C3">
        <v>0.75</v>
      </c>
      <c r="D3">
        <v>0.65</v>
      </c>
      <c r="E3">
        <v>0.9</v>
      </c>
      <c r="F3">
        <v>0.8</v>
      </c>
      <c r="G3">
        <v>0.97</v>
      </c>
      <c r="H3" t="s">
        <v>54</v>
      </c>
      <c r="I3" t="s">
        <v>55</v>
      </c>
      <c r="J3" t="s">
        <v>56</v>
      </c>
      <c r="K3" t="s">
        <v>57</v>
      </c>
    </row>
    <row r="4" spans="1:11" x14ac:dyDescent="0.2">
      <c r="A4" t="s">
        <v>58</v>
      </c>
      <c r="B4">
        <v>0.25</v>
      </c>
      <c r="C4">
        <v>0.55000000000000004</v>
      </c>
      <c r="D4">
        <v>0.45</v>
      </c>
      <c r="E4">
        <v>0.75</v>
      </c>
      <c r="F4">
        <v>0.6</v>
      </c>
      <c r="G4">
        <v>0.9</v>
      </c>
      <c r="H4" t="s">
        <v>59</v>
      </c>
      <c r="I4" t="s">
        <v>60</v>
      </c>
      <c r="J4" t="s">
        <v>61</v>
      </c>
      <c r="K4" t="s">
        <v>62</v>
      </c>
    </row>
    <row r="5" spans="1:11" x14ac:dyDescent="0.2">
      <c r="A5" t="s">
        <v>63</v>
      </c>
      <c r="B5">
        <v>0.4</v>
      </c>
      <c r="C5">
        <v>0.7</v>
      </c>
      <c r="D5">
        <v>0.55000000000000004</v>
      </c>
      <c r="E5">
        <v>0.85</v>
      </c>
      <c r="F5">
        <v>0.75</v>
      </c>
      <c r="G5">
        <v>0.95</v>
      </c>
      <c r="H5" t="s">
        <v>64</v>
      </c>
      <c r="I5" t="s">
        <v>65</v>
      </c>
      <c r="J5" t="s">
        <v>66</v>
      </c>
      <c r="K5" t="s">
        <v>67</v>
      </c>
    </row>
    <row r="6" spans="1:11" x14ac:dyDescent="0.2">
      <c r="A6" t="s">
        <v>68</v>
      </c>
      <c r="B6">
        <v>0.4</v>
      </c>
      <c r="C6">
        <v>0.7</v>
      </c>
      <c r="D6">
        <v>0.55000000000000004</v>
      </c>
      <c r="E6">
        <v>0.85</v>
      </c>
      <c r="F6">
        <v>0.7</v>
      </c>
      <c r="G6">
        <v>0.95</v>
      </c>
      <c r="H6" t="s">
        <v>69</v>
      </c>
      <c r="I6" t="s">
        <v>70</v>
      </c>
      <c r="J6" t="s">
        <v>71</v>
      </c>
      <c r="K6" t="s">
        <v>72</v>
      </c>
    </row>
    <row r="7" spans="1:11" x14ac:dyDescent="0.2">
      <c r="A7" t="s">
        <v>73</v>
      </c>
      <c r="B7">
        <v>0.1</v>
      </c>
      <c r="C7">
        <v>0.25</v>
      </c>
      <c r="D7">
        <v>0.2</v>
      </c>
      <c r="E7">
        <v>0.45</v>
      </c>
      <c r="F7">
        <v>0.35</v>
      </c>
      <c r="G7">
        <v>0.65</v>
      </c>
      <c r="H7" t="s">
        <v>74</v>
      </c>
      <c r="I7" t="s">
        <v>75</v>
      </c>
      <c r="J7" t="s">
        <v>76</v>
      </c>
      <c r="K7" t="s">
        <v>77</v>
      </c>
    </row>
    <row r="8" spans="1:11" x14ac:dyDescent="0.2">
      <c r="A8" t="s">
        <v>78</v>
      </c>
      <c r="B8">
        <v>0.4</v>
      </c>
      <c r="C8">
        <v>0.7</v>
      </c>
      <c r="D8">
        <v>0.6</v>
      </c>
      <c r="E8">
        <v>0.85</v>
      </c>
      <c r="F8">
        <v>0.75</v>
      </c>
      <c r="G8">
        <v>0.95</v>
      </c>
      <c r="H8" t="s">
        <v>79</v>
      </c>
      <c r="I8" t="s">
        <v>80</v>
      </c>
      <c r="J8" t="s">
        <v>81</v>
      </c>
      <c r="K8" t="s">
        <v>82</v>
      </c>
    </row>
    <row r="9" spans="1:11" x14ac:dyDescent="0.2">
      <c r="A9" t="s">
        <v>83</v>
      </c>
      <c r="B9">
        <v>0.1</v>
      </c>
      <c r="C9">
        <v>0.45</v>
      </c>
      <c r="D9">
        <v>0.2</v>
      </c>
      <c r="E9">
        <v>0.6</v>
      </c>
      <c r="F9">
        <v>0.35</v>
      </c>
      <c r="G9">
        <v>0.8</v>
      </c>
      <c r="H9" t="s">
        <v>84</v>
      </c>
      <c r="I9" t="s">
        <v>85</v>
      </c>
      <c r="J9" t="s">
        <v>86</v>
      </c>
      <c r="K9" t="s">
        <v>87</v>
      </c>
    </row>
    <row r="10" spans="1:11" x14ac:dyDescent="0.2">
      <c r="A10" t="s">
        <v>88</v>
      </c>
      <c r="B10">
        <v>0.15</v>
      </c>
      <c r="C10">
        <v>0.4</v>
      </c>
      <c r="D10">
        <v>0.35</v>
      </c>
      <c r="E10">
        <v>0.65</v>
      </c>
      <c r="F10">
        <v>0.55000000000000004</v>
      </c>
      <c r="G10">
        <v>0.85</v>
      </c>
      <c r="H10" t="s">
        <v>89</v>
      </c>
      <c r="I10" t="s">
        <v>90</v>
      </c>
      <c r="J10" t="s">
        <v>91</v>
      </c>
      <c r="K10" t="s">
        <v>92</v>
      </c>
    </row>
    <row r="11" spans="1:11" x14ac:dyDescent="0.2">
      <c r="A11" t="s">
        <v>93</v>
      </c>
      <c r="B11">
        <v>0.2</v>
      </c>
      <c r="C11">
        <v>0.45</v>
      </c>
      <c r="D11">
        <v>0.3</v>
      </c>
      <c r="E11">
        <v>0.6</v>
      </c>
      <c r="F11">
        <v>0.45</v>
      </c>
      <c r="G11">
        <v>0.75</v>
      </c>
      <c r="H11" t="s">
        <v>94</v>
      </c>
      <c r="I11" t="s">
        <v>95</v>
      </c>
      <c r="J11" t="s">
        <v>96</v>
      </c>
      <c r="K11" t="s">
        <v>97</v>
      </c>
    </row>
    <row r="12" spans="1:11" x14ac:dyDescent="0.2">
      <c r="A12" t="s">
        <v>98</v>
      </c>
      <c r="B12">
        <v>0.45</v>
      </c>
      <c r="C12">
        <v>0.75</v>
      </c>
      <c r="D12">
        <v>0.6</v>
      </c>
      <c r="E12">
        <v>0.85</v>
      </c>
      <c r="F12">
        <v>0.75</v>
      </c>
      <c r="G12">
        <v>0.95</v>
      </c>
      <c r="H12" t="s">
        <v>99</v>
      </c>
      <c r="I12" t="s">
        <v>100</v>
      </c>
      <c r="J12" t="s">
        <v>101</v>
      </c>
      <c r="K12" t="s">
        <v>102</v>
      </c>
    </row>
    <row r="13" spans="1:11" x14ac:dyDescent="0.2">
      <c r="A13" t="s">
        <v>103</v>
      </c>
      <c r="B13">
        <v>0.05</v>
      </c>
      <c r="C13">
        <v>0.15</v>
      </c>
      <c r="D13">
        <v>0.1</v>
      </c>
      <c r="E13">
        <v>0.25</v>
      </c>
      <c r="F13">
        <v>0.2</v>
      </c>
      <c r="G13">
        <v>0.45</v>
      </c>
      <c r="H13" t="s">
        <v>104</v>
      </c>
      <c r="I13" t="s">
        <v>105</v>
      </c>
      <c r="J13" t="s">
        <v>106</v>
      </c>
      <c r="K13" t="s">
        <v>107</v>
      </c>
    </row>
    <row r="15" spans="1:11" x14ac:dyDescent="0.2">
      <c r="B15">
        <v>100</v>
      </c>
    </row>
  </sheetData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643A18D3E9F31A45B94966FE4E00F6DE" ma:contentTypeVersion="19" ma:contentTypeDescription="Create a new document." ma:contentTypeScope="" ma:versionID="c07939a5679a659e5300e753429923f6">
  <xsd:schema xmlns:xsd="http://www.w3.org/2001/XMLSchema" xmlns:xs="http://www.w3.org/2001/XMLSchema" xmlns:p="http://schemas.microsoft.com/office/2006/metadata/properties" xmlns:ns2="cd4a04a9-136e-4b3f-8d0e-caebf08e72bf" xmlns:ns3="3e2e96c9-fab6-4978-947b-d1b292f2d3c5" targetNamespace="http://schemas.microsoft.com/office/2006/metadata/properties" ma:root="true" ma:fieldsID="93f1758667c6f091d09988627faa2dc1" ns2:_="" ns3:_="">
    <xsd:import namespace="cd4a04a9-136e-4b3f-8d0e-caebf08e72bf"/>
    <xsd:import namespace="3e2e96c9-fab6-4978-947b-d1b292f2d3c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AutoKeyPoints" minOccurs="0"/>
                <xsd:element ref="ns2:MediaServiceKeyPoints" minOccurs="0"/>
                <xsd:element ref="ns2:MediaServiceDateTaken" minOccurs="0"/>
                <xsd:element ref="ns2:MediaServiceAutoTags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Location" minOccurs="0"/>
                <xsd:element ref="ns3:SharedWithUsers" minOccurs="0"/>
                <xsd:element ref="ns3:SharedWithDetails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SearchProperties" minOccurs="0"/>
                <xsd:element ref="ns2:MediaServiceObjectDetectorVersions" minOccurs="0"/>
                <xsd:element ref="ns2:MediaServiceBillingMetadata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d4a04a9-136e-4b3f-8d0e-caebf08e72bf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AutoKeyPoints" ma:index="10" nillable="true" ma:displayName="MediaServiceAutoKeyPoints" ma:hidden="true" ma:internalName="MediaServiceAutoKeyPoints" ma:readOnly="true">
      <xsd:simpleType>
        <xsd:restriction base="dms:Note"/>
      </xsd:simpleType>
    </xsd:element>
    <xsd:element name="MediaServiceKeyPoints" ma:index="11" nillable="true" ma:displayName="KeyPoints" ma:internalName="MediaServiceKeyPoints" ma:readOnly="true">
      <xsd:simpleType>
        <xsd:restriction base="dms:Note">
          <xsd:maxLength value="255"/>
        </xsd:restriction>
      </xsd:simpleType>
    </xsd:element>
    <xsd:element name="MediaServiceDateTaken" ma:index="12" nillable="true" ma:displayName="MediaServiceDateTaken" ma:hidden="true" ma:internalName="MediaServiceDateTaken" ma:readOnly="true">
      <xsd:simpleType>
        <xsd:restriction base="dms:Text"/>
      </xsd:simpleType>
    </xsd:element>
    <xsd:element name="MediaServiceAutoTags" ma:index="13" nillable="true" ma:displayName="Tags" ma:internalName="MediaServiceAutoTags" ma:readOnly="true">
      <xsd:simpleType>
        <xsd:restriction base="dms:Text"/>
      </xsd:simpleType>
    </xsd:element>
    <xsd:element name="MediaServiceOCR" ma:index="14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5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6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Location" ma:index="17" nillable="true" ma:displayName="Location" ma:internalName="MediaServiceLocation" ma:readOnly="true">
      <xsd:simpleType>
        <xsd:restriction base="dms:Text"/>
      </xsd:simpleType>
    </xsd:element>
    <xsd:element name="MediaLengthInSeconds" ma:index="20" nillable="true" ma:displayName="Length (seconds)" ma:internalName="MediaLengthInSeconds" ma:readOnly="true">
      <xsd:simpleType>
        <xsd:restriction base="dms:Unknown"/>
      </xsd:simpleType>
    </xsd:element>
    <xsd:element name="lcf76f155ced4ddcb4097134ff3c332f" ma:index="22" nillable="true" ma:taxonomy="true" ma:internalName="lcf76f155ced4ddcb4097134ff3c332f" ma:taxonomyFieldName="MediaServiceImageTags" ma:displayName="Image Tags" ma:readOnly="false" ma:fieldId="{5cf76f15-5ced-4ddc-b409-7134ff3c332f}" ma:taxonomyMulti="true" ma:sspId="1cc28261-bcc1-41c7-be9f-d4da2142ceb2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SearchProperties" ma:index="24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ObjectDetectorVersions" ma:index="25" nillable="true" ma:displayName="MediaServiceObjectDetectorVersions" ma:description="" ma:hidden="true" ma:indexed="true" ma:internalName="MediaServiceObjectDetectorVersions" ma:readOnly="true">
      <xsd:simpleType>
        <xsd:restriction base="dms:Text"/>
      </xsd:simpleType>
    </xsd:element>
    <xsd:element name="MediaServiceBillingMetadata" ma:index="26" nillable="true" ma:displayName="MediaServiceBillingMetadata" ma:hidden="true" ma:internalName="MediaServiceBillingMetadata" ma:readOnly="true">
      <xsd:simpleType>
        <xsd:restriction base="dms:Note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2e96c9-fab6-4978-947b-d1b292f2d3c5" elementFormDefault="qualified">
    <xsd:import namespace="http://schemas.microsoft.com/office/2006/documentManagement/types"/>
    <xsd:import namespace="http://schemas.microsoft.com/office/infopath/2007/PartnerControls"/>
    <xsd:element name="SharedWithUsers" ma:index="18" nillable="true" ma:displayName="Shared With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9" nillable="true" ma:displayName="Shared With Details" ma:internalName="SharedWithDetails" ma:readOnly="true">
      <xsd:simpleType>
        <xsd:restriction base="dms:Note">
          <xsd:maxLength value="255"/>
        </xsd:restriction>
      </xsd:simpleType>
    </xsd:element>
    <xsd:element name="TaxCatchAll" ma:index="23" nillable="true" ma:displayName="Taxonomy Catch All Column" ma:hidden="true" ma:list="{f446bbe9-87ee-45ec-9266-86fbe96d4486}" ma:internalName="TaxCatchAll" ma:showField="CatchAllData" ma:web="3e2e96c9-fab6-4978-947b-d1b292f2d3c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d4a04a9-136e-4b3f-8d0e-caebf08e72bf">
      <Terms xmlns="http://schemas.microsoft.com/office/infopath/2007/PartnerControls"/>
    </lcf76f155ced4ddcb4097134ff3c332f>
    <TaxCatchAll xmlns="3e2e96c9-fab6-4978-947b-d1b292f2d3c5" xsi:nil="true"/>
  </documentManagement>
</p:properties>
</file>

<file path=customXml/itemProps1.xml><?xml version="1.0" encoding="utf-8"?>
<ds:datastoreItem xmlns:ds="http://schemas.openxmlformats.org/officeDocument/2006/customXml" ds:itemID="{7A7AB736-5EF4-40A0-9A18-7C48F41B5F5F}">
  <ds:schemaRefs>
    <ds:schemaRef ds:uri="http://schemas.microsoft.com/sharepoint/v3/contenttype/forms"/>
  </ds:schemaRefs>
</ds:datastoreItem>
</file>

<file path=customXml/itemProps2.xml><?xml version="1.0" encoding="utf-8"?>
<ds:datastoreItem xmlns:ds="http://schemas.openxmlformats.org/officeDocument/2006/customXml" ds:itemID="{C6EEACA0-B11D-4DE9-9F66-6091F0F861F4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cd4a04a9-136e-4b3f-8d0e-caebf08e72bf"/>
    <ds:schemaRef ds:uri="3e2e96c9-fab6-4978-947b-d1b292f2d3c5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3.xml><?xml version="1.0" encoding="utf-8"?>
<ds:datastoreItem xmlns:ds="http://schemas.openxmlformats.org/officeDocument/2006/customXml" ds:itemID="{7786C670-1A1A-4EA6-B547-FC2FD4F13AE5}">
  <ds:schemaRefs>
    <ds:schemaRef ds:uri="http://schemas.microsoft.com/office/2006/metadata/properties"/>
    <ds:schemaRef ds:uri="http://schemas.microsoft.com/office/infopath/2007/PartnerControls"/>
    <ds:schemaRef ds:uri="cd4a04a9-136e-4b3f-8d0e-caebf08e72bf"/>
    <ds:schemaRef ds:uri="3e2e96c9-fab6-4978-947b-d1b292f2d3c5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8</vt:i4>
      </vt:variant>
    </vt:vector>
  </HeadingPairs>
  <TitlesOfParts>
    <vt:vector size="8" baseType="lpstr">
      <vt:lpstr>Step 1</vt:lpstr>
      <vt:lpstr>Step 2</vt:lpstr>
      <vt:lpstr>Step 3</vt:lpstr>
      <vt:lpstr>Appendix A</vt:lpstr>
      <vt:lpstr>Step 4 Weighted Calc</vt:lpstr>
      <vt:lpstr>Final Output</vt:lpstr>
      <vt:lpstr>System Supports Don't Touch &gt;</vt:lpstr>
      <vt:lpstr>Sheet5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Vikram Mahendru</dc:creator>
  <cp:lastModifiedBy>Vikram Mahendru</cp:lastModifiedBy>
  <dcterms:created xsi:type="dcterms:W3CDTF">2015-06-05T18:17:20Z</dcterms:created>
  <dcterms:modified xsi:type="dcterms:W3CDTF">2026-04-13T19:49:33Z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0x010100643A18D3E9F31A45B94966FE4E00F6DE</vt:lpwstr>
  </property>
</Properties>
</file>